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iotitractor-my.sharepoint.com/personal/sanghoon_kim_kiotitractor_com/Documents/Expense/2025/Receipts/Sanghoon_Kim_October_2025_KoreaTrip/"/>
    </mc:Choice>
  </mc:AlternateContent>
  <xr:revisionPtr revIDLastSave="32" documentId="8_{0ADD75C8-5CD3-4C08-BF5C-57DE42D01851}" xr6:coauthVersionLast="47" xr6:coauthVersionMax="47" xr10:uidLastSave="{AF08CAEB-558E-4A3F-9CF1-C331FF08AF61}"/>
  <bookViews>
    <workbookView xWindow="-120" yWindow="-120" windowWidth="29040" windowHeight="15840" xr2:uid="{00000000-000D-0000-FFFF-FFFF00000000}"/>
  </bookViews>
  <sheets>
    <sheet name="List" sheetId="1" r:id="rId1"/>
    <sheet name="Report" sheetId="2" r:id="rId2"/>
  </sheets>
  <definedNames>
    <definedName name="_xlnm._FilterDatabase" localSheetId="0" hidden="1">List!$B$1:$I$67</definedName>
    <definedName name="_xlnm.Print_Area" localSheetId="1">Report!$B$1:$K$67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2" l="1"/>
  <c r="K61" i="2"/>
  <c r="K57" i="2"/>
  <c r="K54" i="2"/>
  <c r="I34" i="2"/>
  <c r="G34" i="2"/>
  <c r="K33" i="2"/>
  <c r="K32" i="2"/>
  <c r="K60" i="2" s="1"/>
  <c r="K31" i="2"/>
  <c r="K58" i="2" s="1"/>
  <c r="K30" i="2"/>
  <c r="K29" i="2"/>
  <c r="K28" i="2"/>
  <c r="H34" i="2"/>
  <c r="F34" i="2"/>
  <c r="E34" i="2"/>
  <c r="D34" i="2"/>
  <c r="K26" i="2"/>
  <c r="K25" i="2"/>
  <c r="K59" i="2" s="1"/>
  <c r="K24" i="2"/>
  <c r="K23" i="2"/>
  <c r="K22" i="2"/>
  <c r="K21" i="2"/>
  <c r="K20" i="2"/>
  <c r="K53" i="2" s="1"/>
  <c r="J34" i="2"/>
  <c r="K18" i="2"/>
  <c r="K17" i="2"/>
  <c r="K16" i="2"/>
  <c r="K51" i="2" s="1"/>
  <c r="K15" i="2"/>
  <c r="K14" i="2"/>
  <c r="D60" i="2" s="1"/>
  <c r="F59" i="2" s="1"/>
  <c r="G68" i="1"/>
  <c r="F71" i="1"/>
  <c r="K55" i="2" l="1"/>
  <c r="K34" i="2"/>
  <c r="H67" i="2" s="1"/>
  <c r="K27" i="2"/>
  <c r="K56" i="2" s="1"/>
  <c r="K19" i="2"/>
  <c r="K52" i="2" s="1"/>
  <c r="K67" i="2" s="1"/>
  <c r="F73" i="1" l="1"/>
  <c r="F72" i="1" l="1"/>
  <c r="E68" i="1" l="1"/>
  <c r="F70" i="1" l="1"/>
  <c r="F68" i="1"/>
</calcChain>
</file>

<file path=xl/sharedStrings.xml><?xml version="1.0" encoding="utf-8"?>
<sst xmlns="http://schemas.openxmlformats.org/spreadsheetml/2006/main" count="91" uniqueCount="86">
  <si>
    <t>No</t>
  </si>
  <si>
    <t>Transaction Date</t>
  </si>
  <si>
    <t>Description</t>
  </si>
  <si>
    <t>Category</t>
  </si>
  <si>
    <t>Amount</t>
  </si>
  <si>
    <t>Amount($)</t>
  </si>
  <si>
    <t>Amount(KRW)</t>
  </si>
  <si>
    <t>Memo</t>
  </si>
  <si>
    <t>Rate</t>
  </si>
  <si>
    <t xml:space="preserve">  TELEPHONE/INTERNET</t>
  </si>
  <si>
    <t xml:space="preserve">  ENTERTAINMENT*</t>
  </si>
  <si>
    <t xml:space="preserve">  MISCELLANEOUS</t>
  </si>
  <si>
    <t xml:space="preserve">  OTHER TRANSPORT'N</t>
  </si>
  <si>
    <t>Total</t>
  </si>
  <si>
    <t>Transportation</t>
  </si>
  <si>
    <t>Telephone</t>
  </si>
  <si>
    <t>Meal</t>
  </si>
  <si>
    <t>Meal &amp; Entertainment</t>
  </si>
  <si>
    <t>EXPENSE REPORT - Daedong USA</t>
  </si>
  <si>
    <t>Week Ending</t>
  </si>
  <si>
    <t>A/c No</t>
  </si>
  <si>
    <t>NAME:</t>
  </si>
  <si>
    <t>ADDRESS</t>
  </si>
  <si>
    <t>CITY:</t>
  </si>
  <si>
    <t>STATE</t>
  </si>
  <si>
    <t>ZIP CODE</t>
  </si>
  <si>
    <t>DEPT:</t>
  </si>
  <si>
    <t>ATTACH ALL RECEIPTS TO THIS FORM AS PRESCRIBED BY COMPANY</t>
  </si>
  <si>
    <t>DETAIL</t>
  </si>
  <si>
    <t>TOTAL</t>
  </si>
  <si>
    <t xml:space="preserve">DATE </t>
  </si>
  <si>
    <t>TRAVEL FROM</t>
  </si>
  <si>
    <t>TO-</t>
  </si>
  <si>
    <t>Personal Car Miles</t>
  </si>
  <si>
    <t>Company Car Miles</t>
  </si>
  <si>
    <t xml:space="preserve">  LODGING</t>
  </si>
  <si>
    <t xml:space="preserve">  BREAKFAST</t>
  </si>
  <si>
    <t xml:space="preserve">  LUNCH</t>
  </si>
  <si>
    <t xml:space="preserve">  DINNER</t>
  </si>
  <si>
    <t xml:space="preserve">  TRAVEL EXPENSE</t>
  </si>
  <si>
    <t xml:space="preserve">  AIR TRAVEL</t>
  </si>
  <si>
    <t xml:space="preserve">  TAXI / UBER</t>
  </si>
  <si>
    <t xml:space="preserve">  OFFICE SUPPLIES</t>
  </si>
  <si>
    <t xml:space="preserve">  GAS RECIEPTS</t>
  </si>
  <si>
    <t xml:space="preserve">  PERSONAL AUTO**</t>
  </si>
  <si>
    <t xml:space="preserve">  TOLLS / PARKING</t>
  </si>
  <si>
    <t xml:space="preserve">  AUTO RENTAL</t>
  </si>
  <si>
    <t xml:space="preserve">  AUTO REPAIR / MAIN.</t>
  </si>
  <si>
    <t xml:space="preserve">  POSTAGE</t>
  </si>
  <si>
    <t>TOTALS</t>
  </si>
  <si>
    <t>*DETAILS OF MISCELLANEOUS EXPENSE</t>
  </si>
  <si>
    <t>*DETAILS OF ENTERTAINMENT EXPENSE</t>
  </si>
  <si>
    <t>DATE / PERSON(S) ENTERTAINED</t>
  </si>
  <si>
    <t>FROM WHAT COMPANY</t>
  </si>
  <si>
    <t>PLACE ENTERTAINED</t>
  </si>
  <si>
    <t>BUSINESS PURPOSE</t>
  </si>
  <si>
    <t>AMOUNT</t>
  </si>
  <si>
    <t>PURPOSE OF TRIPS / REFERENCE NOTES</t>
  </si>
  <si>
    <t>Mileage</t>
  </si>
  <si>
    <t>FOR ACCOUNTING DEPT. USE ONLY</t>
  </si>
  <si>
    <t>Lodging</t>
  </si>
  <si>
    <t>SUBMITTED BY:</t>
  </si>
  <si>
    <t>DATE:</t>
  </si>
  <si>
    <t>Meals</t>
  </si>
  <si>
    <t>Entertainment</t>
  </si>
  <si>
    <t>Airfare</t>
  </si>
  <si>
    <t>APPROVED BY:</t>
  </si>
  <si>
    <t>Car Rental/ Taxi</t>
  </si>
  <si>
    <t>Fuel, Mileage, etc</t>
  </si>
  <si>
    <t>Vehicle Repairs</t>
  </si>
  <si>
    <t>Company Car/Car Allowance</t>
  </si>
  <si>
    <t>Postage</t>
  </si>
  <si>
    <t>Supplies</t>
  </si>
  <si>
    <t>**PERSONAL AUTO MILES:</t>
  </si>
  <si>
    <t>AT $/Miles:</t>
  </si>
  <si>
    <t>NON - REIMBURSABLE ITEMS</t>
  </si>
  <si>
    <t>Miscellaneous</t>
  </si>
  <si>
    <t xml:space="preserve"> LODGING</t>
  </si>
  <si>
    <t>Reviewed By:</t>
  </si>
  <si>
    <t xml:space="preserve"> AIR TRAVEL</t>
  </si>
  <si>
    <t xml:space="preserve"> GAS</t>
  </si>
  <si>
    <t xml:space="preserve"> AUTO RENTAL</t>
  </si>
  <si>
    <t xml:space="preserve"> AUTO REPAIR &amp; MAINT.</t>
  </si>
  <si>
    <t xml:space="preserve"> TOTAL CHARGED</t>
  </si>
  <si>
    <t xml:space="preserve"> TOTAL WKLY EXPENSE</t>
  </si>
  <si>
    <t xml:space="preserve"> 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</si>
</sst>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3" formatCode="_(* #,##0.00_);_(* \(#,##0.00\);_(* &quot;-&quot;??_);_(@_)"/>
    <numFmt numFmtId="164" formatCode="dd\-mmm\-yy"/>
    <numFmt numFmtId="165" formatCode="#,##0.00\ [$€-407];\-#,##0.00\ [$€-407]"/>
    <numFmt numFmtId="166" formatCode="mm/dd/yy"/>
    <numFmt numFmtId="167" formatCode="[$$-409]#,##0.00"/>
    <numFmt numFmtId="168" formatCode="#,##0.000_);\(#,##0.000\)"/>
    <numFmt numFmtId="169" formatCode="&quot;$&quot;#,##0.00"/>
    <numFmt numFmtId="170" formatCode="_(* #,##0_);_(* \(#,##0\);_(* &quot;-&quot;??_);_(@_)"/>
    <numFmt numFmtId="171" formatCode="yyyy\-mm\-dd"/>
  </numFmts>
  <fonts count="22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10"/>
      <color indexed="18"/>
      <name val="Arial"/>
      <family val="2"/>
    </font>
    <font>
      <b/>
      <sz val="24"/>
      <color rgb="FFFF0000"/>
      <name val="Arial"/>
      <family val="2"/>
    </font>
    <font>
      <sz val="10"/>
      <name val="MS Sans Serif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6" fillId="0" borderId="0"/>
    <xf numFmtId="0" fontId="5" fillId="0" borderId="0"/>
    <xf numFmtId="43" fontId="5" fillId="0" borderId="0"/>
  </cellStyleXfs>
  <cellXfs count="190">
    <xf numFmtId="0" fontId="0" fillId="0" borderId="0" xfId="0"/>
    <xf numFmtId="14" fontId="8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7" xfId="0" applyFont="1" applyBorder="1"/>
    <xf numFmtId="0" fontId="12" fillId="0" borderId="0" xfId="0" applyFont="1"/>
    <xf numFmtId="0" fontId="6" fillId="0" borderId="0" xfId="0" applyFont="1" applyAlignment="1">
      <alignment vertical="top"/>
    </xf>
    <xf numFmtId="0" fontId="8" fillId="0" borderId="0" xfId="0" applyFont="1"/>
    <xf numFmtId="0" fontId="6" fillId="0" borderId="2" xfId="0" applyFont="1" applyBorder="1" applyAlignment="1">
      <alignment horizontal="right"/>
    </xf>
    <xf numFmtId="0" fontId="6" fillId="2" borderId="0" xfId="0" applyFont="1" applyFill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7" fillId="0" borderId="16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4" fontId="13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2" xfId="0" applyFont="1" applyBorder="1" applyProtection="1">
      <protection locked="0"/>
    </xf>
    <xf numFmtId="165" fontId="8" fillId="0" borderId="22" xfId="0" applyNumberFormat="1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6" fillId="0" borderId="24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right"/>
      <protection locked="0"/>
    </xf>
    <xf numFmtId="166" fontId="14" fillId="0" borderId="1" xfId="0" applyNumberFormat="1" applyFont="1" applyBorder="1" applyAlignment="1">
      <alignment horizontal="center"/>
    </xf>
    <xf numFmtId="0" fontId="8" fillId="0" borderId="38" xfId="0" applyFont="1" applyBorder="1"/>
    <xf numFmtId="0" fontId="8" fillId="0" borderId="30" xfId="0" applyFont="1" applyBorder="1"/>
    <xf numFmtId="0" fontId="6" fillId="0" borderId="4" xfId="0" applyFont="1" applyBorder="1" applyAlignment="1">
      <alignment horizontal="center"/>
    </xf>
    <xf numFmtId="0" fontId="6" fillId="0" borderId="16" xfId="0" applyFont="1" applyBorder="1"/>
    <xf numFmtId="0" fontId="9" fillId="0" borderId="42" xfId="0" quotePrefix="1" applyFont="1" applyBorder="1" applyAlignment="1">
      <alignment horizontal="left"/>
    </xf>
    <xf numFmtId="0" fontId="6" fillId="5" borderId="11" xfId="0" applyFont="1" applyFill="1" applyBorder="1"/>
    <xf numFmtId="0" fontId="9" fillId="5" borderId="11" xfId="0" applyFont="1" applyFill="1" applyBorder="1" applyAlignment="1">
      <alignment horizontal="center"/>
    </xf>
    <xf numFmtId="0" fontId="6" fillId="5" borderId="23" xfId="0" applyFont="1" applyFill="1" applyBorder="1"/>
    <xf numFmtId="2" fontId="6" fillId="0" borderId="2" xfId="0" applyNumberFormat="1" applyFont="1" applyBorder="1" applyAlignment="1">
      <alignment horizontal="center"/>
    </xf>
    <xf numFmtId="0" fontId="6" fillId="5" borderId="34" xfId="0" applyFont="1" applyFill="1" applyBorder="1"/>
    <xf numFmtId="0" fontId="8" fillId="0" borderId="14" xfId="0" applyFont="1" applyBorder="1" applyAlignment="1">
      <alignment horizontal="center"/>
    </xf>
    <xf numFmtId="167" fontId="6" fillId="0" borderId="12" xfId="0" applyNumberFormat="1" applyFont="1" applyBorder="1"/>
    <xf numFmtId="167" fontId="6" fillId="0" borderId="8" xfId="0" applyNumberFormat="1" applyFont="1" applyBorder="1"/>
    <xf numFmtId="167" fontId="6" fillId="0" borderId="17" xfId="0" applyNumberFormat="1" applyFont="1" applyBorder="1"/>
    <xf numFmtId="167" fontId="6" fillId="0" borderId="14" xfId="0" applyNumberFormat="1" applyFont="1" applyBorder="1" applyAlignment="1">
      <alignment horizontal="center"/>
    </xf>
    <xf numFmtId="168" fontId="6" fillId="0" borderId="18" xfId="0" applyNumberFormat="1" applyFont="1" applyBorder="1" applyAlignment="1">
      <alignment horizontal="center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0" borderId="0" xfId="0" applyFont="1"/>
    <xf numFmtId="0" fontId="8" fillId="0" borderId="8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8" fillId="0" borderId="0" xfId="0" applyFont="1" applyAlignment="1">
      <alignment horizontal="right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8" fillId="0" borderId="2" xfId="0" applyNumberFormat="1" applyFont="1" applyBorder="1" applyAlignment="1" applyProtection="1">
      <alignment horizontal="center"/>
      <protection locked="0"/>
    </xf>
    <xf numFmtId="0" fontId="6" fillId="0" borderId="3" xfId="0" applyFont="1" applyBorder="1" applyAlignment="1">
      <alignment horizontal="left"/>
    </xf>
    <xf numFmtId="0" fontId="6" fillId="7" borderId="2" xfId="0" applyFont="1" applyFill="1" applyBorder="1" applyAlignment="1">
      <alignment horizontal="right"/>
    </xf>
    <xf numFmtId="0" fontId="7" fillId="7" borderId="3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0" fontId="6" fillId="7" borderId="0" xfId="0" applyFont="1" applyFill="1" applyAlignment="1">
      <alignment horizontal="right"/>
    </xf>
    <xf numFmtId="0" fontId="7" fillId="7" borderId="2" xfId="0" applyFont="1" applyFill="1" applyBorder="1" applyProtection="1">
      <protection locked="0"/>
    </xf>
    <xf numFmtId="167" fontId="8" fillId="0" borderId="45" xfId="0" applyNumberFormat="1" applyFont="1" applyBorder="1" applyAlignment="1">
      <alignment horizontal="center"/>
    </xf>
    <xf numFmtId="0" fontId="6" fillId="0" borderId="26" xfId="0" applyFont="1" applyBorder="1" applyAlignment="1" applyProtection="1">
      <alignment horizontal="left"/>
      <protection locked="0"/>
    </xf>
    <xf numFmtId="0" fontId="7" fillId="0" borderId="46" xfId="0" applyFont="1" applyBorder="1" applyAlignment="1">
      <alignment horizontal="center"/>
    </xf>
    <xf numFmtId="165" fontId="8" fillId="0" borderId="26" xfId="0" applyNumberFormat="1" applyFont="1" applyBorder="1" applyAlignment="1" applyProtection="1">
      <alignment horizontal="center"/>
      <protection locked="0"/>
    </xf>
    <xf numFmtId="0" fontId="9" fillId="0" borderId="46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169" fontId="6" fillId="0" borderId="31" xfId="0" applyNumberFormat="1" applyFont="1" applyBorder="1" applyAlignment="1">
      <alignment horizontal="left"/>
    </xf>
    <xf numFmtId="169" fontId="6" fillId="0" borderId="31" xfId="0" applyNumberFormat="1" applyFont="1" applyBorder="1"/>
    <xf numFmtId="169" fontId="6" fillId="0" borderId="35" xfId="0" applyNumberFormat="1" applyFont="1" applyBorder="1"/>
    <xf numFmtId="0" fontId="7" fillId="0" borderId="2" xfId="0" applyFont="1" applyBorder="1" applyAlignment="1" applyProtection="1">
      <alignment horizontal="left"/>
      <protection locked="0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43" fontId="6" fillId="0" borderId="1" xfId="1" applyFont="1" applyBorder="1" applyAlignment="1" applyProtection="1">
      <alignment horizontal="center"/>
      <protection locked="0"/>
    </xf>
    <xf numFmtId="43" fontId="6" fillId="4" borderId="1" xfId="1" applyFont="1" applyFill="1" applyBorder="1" applyAlignment="1" applyProtection="1">
      <alignment horizontal="center"/>
      <protection locked="0"/>
    </xf>
    <xf numFmtId="43" fontId="6" fillId="0" borderId="8" xfId="1" applyFont="1" applyBorder="1" applyAlignment="1">
      <alignment horizontal="center"/>
    </xf>
    <xf numFmtId="43" fontId="6" fillId="0" borderId="0" xfId="1" applyFont="1" applyAlignment="1">
      <alignment horizontal="center"/>
    </xf>
    <xf numFmtId="43" fontId="6" fillId="0" borderId="25" xfId="1" applyFont="1" applyBorder="1" applyAlignment="1" applyProtection="1">
      <alignment horizontal="center"/>
      <protection locked="0"/>
    </xf>
    <xf numFmtId="43" fontId="6" fillId="0" borderId="49" xfId="1" applyFont="1" applyBorder="1" applyAlignment="1" applyProtection="1">
      <alignment horizontal="center"/>
      <protection locked="0"/>
    </xf>
    <xf numFmtId="43" fontId="6" fillId="0" borderId="46" xfId="1" applyFont="1" applyBorder="1" applyAlignment="1" applyProtection="1">
      <alignment horizontal="center"/>
      <protection locked="0"/>
    </xf>
    <xf numFmtId="43" fontId="6" fillId="0" borderId="12" xfId="1" applyFont="1" applyBorder="1" applyAlignment="1">
      <alignment horizontal="center"/>
    </xf>
    <xf numFmtId="43" fontId="6" fillId="0" borderId="7" xfId="1" applyFont="1" applyBorder="1" applyAlignment="1" applyProtection="1">
      <alignment horizontal="center"/>
      <protection locked="0"/>
    </xf>
    <xf numFmtId="43" fontId="6" fillId="0" borderId="20" xfId="1" applyFont="1" applyBorder="1" applyAlignment="1" applyProtection="1">
      <alignment horizontal="center"/>
      <protection locked="0"/>
    </xf>
    <xf numFmtId="43" fontId="6" fillId="0" borderId="26" xfId="1" applyFont="1" applyBorder="1" applyAlignment="1">
      <alignment horizontal="center"/>
    </xf>
    <xf numFmtId="43" fontId="6" fillId="3" borderId="1" xfId="1" applyFont="1" applyFill="1" applyBorder="1" applyAlignment="1" applyProtection="1">
      <alignment horizontal="center"/>
      <protection locked="0"/>
    </xf>
    <xf numFmtId="43" fontId="6" fillId="3" borderId="1" xfId="1" applyFont="1" applyFill="1" applyBorder="1" applyAlignment="1">
      <alignment horizontal="center"/>
    </xf>
    <xf numFmtId="43" fontId="6" fillId="0" borderId="25" xfId="1" applyFont="1" applyBorder="1" applyAlignment="1">
      <alignment horizontal="center"/>
    </xf>
    <xf numFmtId="0" fontId="19" fillId="5" borderId="0" xfId="2" applyFont="1" applyFill="1" applyAlignment="1">
      <alignment horizontal="center"/>
    </xf>
    <xf numFmtId="43" fontId="19" fillId="5" borderId="0" xfId="3" applyFont="1" applyFill="1" applyAlignment="1">
      <alignment horizontal="center"/>
    </xf>
    <xf numFmtId="170" fontId="19" fillId="5" borderId="0" xfId="3" applyNumberFormat="1" applyFont="1" applyFill="1" applyAlignment="1">
      <alignment horizontal="center"/>
    </xf>
    <xf numFmtId="0" fontId="5" fillId="0" borderId="0" xfId="2"/>
    <xf numFmtId="14" fontId="5" fillId="0" borderId="0" xfId="2" applyNumberFormat="1"/>
    <xf numFmtId="43" fontId="0" fillId="0" borderId="0" xfId="3" applyFont="1"/>
    <xf numFmtId="170" fontId="0" fillId="0" borderId="0" xfId="3" applyNumberFormat="1" applyFont="1"/>
    <xf numFmtId="43" fontId="18" fillId="7" borderId="0" xfId="3" applyFont="1" applyFill="1"/>
    <xf numFmtId="170" fontId="18" fillId="7" borderId="0" xfId="3" applyNumberFormat="1" applyFont="1" applyFill="1"/>
    <xf numFmtId="0" fontId="18" fillId="7" borderId="0" xfId="2" applyFont="1" applyFill="1"/>
    <xf numFmtId="0" fontId="18" fillId="5" borderId="0" xfId="2" applyFont="1" applyFill="1" applyAlignment="1">
      <alignment horizontal="center" vertical="center"/>
    </xf>
    <xf numFmtId="0" fontId="5" fillId="5" borderId="0" xfId="2" applyFill="1" applyAlignment="1">
      <alignment horizontal="center" vertical="center"/>
    </xf>
    <xf numFmtId="0" fontId="5" fillId="5" borderId="0" xfId="2" applyFill="1"/>
    <xf numFmtId="14" fontId="19" fillId="5" borderId="0" xfId="2" applyNumberFormat="1" applyFont="1" applyFill="1" applyAlignment="1">
      <alignment horizontal="center"/>
    </xf>
    <xf numFmtId="0" fontId="5" fillId="0" borderId="0" xfId="2" applyAlignment="1">
      <alignment horizontal="center" vertical="center"/>
    </xf>
    <xf numFmtId="0" fontId="19" fillId="5" borderId="0" xfId="2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43" fontId="5" fillId="0" borderId="0" xfId="2" applyNumberFormat="1"/>
    <xf numFmtId="0" fontId="4" fillId="0" borderId="0" xfId="2" applyFont="1"/>
    <xf numFmtId="0" fontId="1" fillId="0" borderId="0" xfId="2" applyFont="1"/>
    <xf numFmtId="170" fontId="21" fillId="0" borderId="0" xfId="3" applyNumberFormat="1" applyFont="1"/>
    <xf numFmtId="0" fontId="20" fillId="0" borderId="0" xfId="2" applyFont="1" applyAlignment="1">
      <alignment horizontal="center" vertical="center"/>
    </xf>
    <xf numFmtId="0" fontId="3" fillId="0" borderId="0" xfId="2" applyFont="1"/>
    <xf numFmtId="170" fontId="17" fillId="0" borderId="0" xfId="3" applyNumberFormat="1" applyFont="1"/>
    <xf numFmtId="0" fontId="2" fillId="0" borderId="0" xfId="2" applyFont="1" applyAlignment="1">
      <alignment horizontal="center" vertical="center"/>
    </xf>
    <xf numFmtId="0" fontId="5" fillId="8" borderId="0" xfId="2" applyFill="1" applyAlignment="1">
      <alignment horizontal="center" vertical="center"/>
    </xf>
    <xf numFmtId="171" fontId="0" fillId="0" borderId="0" xfId="0" applyNumberFormat="1"/>
    <xf numFmtId="0" fontId="18" fillId="7" borderId="0" xfId="2" applyFont="1" applyFill="1" applyAlignment="1">
      <alignment horizontal="center"/>
    </xf>
    <xf numFmtId="14" fontId="5" fillId="0" borderId="0" xfId="2" applyNumberFormat="1"/>
    <xf numFmtId="0" fontId="5" fillId="0" borderId="0" xfId="2"/>
    <xf numFmtId="0" fontId="5" fillId="0" borderId="0" xfId="2" applyAlignment="1">
      <alignment horizontal="center" vertical="center"/>
    </xf>
    <xf numFmtId="0" fontId="5" fillId="8" borderId="0" xfId="2" applyFill="1" applyAlignment="1">
      <alignment horizontal="center" vertical="center"/>
    </xf>
    <xf numFmtId="0" fontId="5" fillId="5" borderId="0" xfId="2" applyFill="1" applyAlignment="1">
      <alignment horizontal="center" vertical="center"/>
    </xf>
    <xf numFmtId="0" fontId="5" fillId="0" borderId="0" xfId="2" applyAlignment="1">
      <alignment horizontal="center"/>
    </xf>
    <xf numFmtId="0" fontId="1" fillId="0" borderId="0" xfId="2" applyFont="1" applyAlignment="1">
      <alignment horizontal="center" vertical="center"/>
    </xf>
    <xf numFmtId="0" fontId="6" fillId="4" borderId="37" xfId="0" applyFont="1" applyFill="1" applyBorder="1" applyAlignment="1">
      <alignment horizontal="center"/>
    </xf>
    <xf numFmtId="0" fontId="0" fillId="0" borderId="4" xfId="0" applyBorder="1"/>
    <xf numFmtId="0" fontId="8" fillId="0" borderId="1" xfId="0" applyFont="1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7" fontId="6" fillId="0" borderId="36" xfId="0" applyNumberFormat="1" applyFont="1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36" xfId="0" applyBorder="1" applyProtection="1">
      <protection locked="0"/>
    </xf>
    <xf numFmtId="0" fontId="8" fillId="0" borderId="37" xfId="0" applyFont="1" applyBorder="1" applyAlignment="1">
      <alignment horizontal="left"/>
    </xf>
    <xf numFmtId="0" fontId="10" fillId="0" borderId="37" xfId="0" applyFont="1" applyBorder="1" applyAlignment="1" applyProtection="1">
      <alignment horizontal="center"/>
      <protection locked="0"/>
    </xf>
    <xf numFmtId="0" fontId="9" fillId="0" borderId="48" xfId="0" applyFont="1" applyBorder="1" applyAlignment="1">
      <alignment horizontal="center"/>
    </xf>
    <xf numFmtId="0" fontId="0" fillId="0" borderId="28" xfId="0" applyBorder="1"/>
    <xf numFmtId="0" fontId="9" fillId="0" borderId="49" xfId="0" applyFont="1" applyBorder="1" applyAlignment="1">
      <alignment horizontal="center"/>
    </xf>
    <xf numFmtId="0" fontId="0" fillId="0" borderId="47" xfId="0" applyBorder="1"/>
    <xf numFmtId="0" fontId="6" fillId="0" borderId="31" xfId="0" applyFont="1" applyBorder="1" applyAlignment="1" applyProtection="1">
      <alignment horizontal="left"/>
      <protection locked="0"/>
    </xf>
    <xf numFmtId="0" fontId="8" fillId="0" borderId="32" xfId="0" applyFont="1" applyBorder="1" applyAlignment="1">
      <alignment horizontal="left"/>
    </xf>
    <xf numFmtId="0" fontId="0" fillId="0" borderId="2" xfId="0" applyBorder="1"/>
    <xf numFmtId="0" fontId="7" fillId="5" borderId="45" xfId="0" applyFont="1" applyFill="1" applyBorder="1" applyAlignment="1">
      <alignment horizontal="center"/>
    </xf>
    <xf numFmtId="0" fontId="0" fillId="0" borderId="29" xfId="0" applyBorder="1"/>
    <xf numFmtId="0" fontId="7" fillId="0" borderId="31" xfId="0" applyFont="1" applyBorder="1" applyAlignment="1">
      <alignment horizontal="center"/>
    </xf>
    <xf numFmtId="0" fontId="0" fillId="0" borderId="3" xfId="0" applyBorder="1"/>
    <xf numFmtId="0" fontId="11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51" xfId="0" applyFont="1" applyBorder="1" applyAlignment="1">
      <alignment horizontal="center"/>
    </xf>
    <xf numFmtId="0" fontId="0" fillId="0" borderId="41" xfId="0" applyBorder="1"/>
    <xf numFmtId="7" fontId="6" fillId="0" borderId="36" xfId="0" applyNumberFormat="1" applyFont="1" applyBorder="1" applyAlignment="1" applyProtection="1">
      <alignment horizontal="left" vertical="center"/>
      <protection locked="0"/>
    </xf>
    <xf numFmtId="0" fontId="8" fillId="0" borderId="37" xfId="0" applyFont="1" applyBorder="1" applyAlignment="1">
      <alignment horizontal="left" vertical="center"/>
    </xf>
    <xf numFmtId="0" fontId="6" fillId="0" borderId="52" xfId="0" applyFon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0" fillId="0" borderId="6" xfId="0" applyBorder="1" applyProtection="1">
      <protection locked="0"/>
    </xf>
    <xf numFmtId="0" fontId="8" fillId="0" borderId="39" xfId="0" applyFont="1" applyBorder="1" applyAlignment="1">
      <alignment horizontal="left" vertical="center"/>
    </xf>
    <xf numFmtId="0" fontId="0" fillId="0" borderId="19" xfId="0" applyBorder="1"/>
    <xf numFmtId="0" fontId="10" fillId="0" borderId="39" xfId="0" applyFont="1" applyBorder="1" applyAlignment="1">
      <alignment horizontal="center"/>
    </xf>
    <xf numFmtId="0" fontId="8" fillId="6" borderId="50" xfId="0" applyFont="1" applyFill="1" applyBorder="1" applyAlignment="1">
      <alignment horizontal="left" vertical="center"/>
    </xf>
    <xf numFmtId="0" fontId="8" fillId="0" borderId="7" xfId="0" applyFont="1" applyBorder="1" applyAlignment="1" applyProtection="1">
      <alignment horizontal="left"/>
      <protection locked="0"/>
    </xf>
    <xf numFmtId="0" fontId="6" fillId="0" borderId="37" xfId="0" applyFont="1" applyBorder="1" applyAlignment="1" applyProtection="1">
      <alignment horizontal="left"/>
      <protection locked="0"/>
    </xf>
    <xf numFmtId="0" fontId="7" fillId="6" borderId="45" xfId="0" applyFont="1" applyFill="1" applyBorder="1" applyAlignment="1">
      <alignment horizontal="center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13" xfId="0" applyFont="1" applyBorder="1" applyAlignment="1">
      <alignment horizontal="left"/>
    </xf>
    <xf numFmtId="0" fontId="6" fillId="0" borderId="0" xfId="0" applyFont="1"/>
    <xf numFmtId="7" fontId="6" fillId="0" borderId="52" xfId="0" applyNumberFormat="1" applyFont="1" applyBorder="1" applyAlignment="1" applyProtection="1">
      <alignment horizontal="center"/>
      <protection locked="0"/>
    </xf>
    <xf numFmtId="0" fontId="7" fillId="0" borderId="27" xfId="0" applyFont="1" applyBorder="1" applyAlignment="1">
      <alignment horizontal="center"/>
    </xf>
    <xf numFmtId="0" fontId="8" fillId="0" borderId="38" xfId="0" applyFont="1" applyBorder="1" applyAlignment="1" applyProtection="1">
      <alignment horizontal="left"/>
      <protection locked="0"/>
    </xf>
    <xf numFmtId="0" fontId="6" fillId="0" borderId="45" xfId="0" applyFont="1" applyBorder="1" applyAlignment="1">
      <alignment horizontal="center"/>
    </xf>
    <xf numFmtId="0" fontId="0" fillId="0" borderId="10" xfId="0" applyBorder="1"/>
    <xf numFmtId="0" fontId="0" fillId="0" borderId="43" xfId="0" applyBorder="1"/>
    <xf numFmtId="0" fontId="0" fillId="0" borderId="13" xfId="0" applyBorder="1"/>
    <xf numFmtId="0" fontId="0" fillId="0" borderId="40" xfId="0" applyBorder="1"/>
    <xf numFmtId="0" fontId="0" fillId="0" borderId="33" xfId="0" applyBorder="1"/>
    <xf numFmtId="0" fontId="0" fillId="0" borderId="14" xfId="0" applyBorder="1"/>
    <xf numFmtId="0" fontId="0" fillId="0" borderId="44" xfId="0" applyBorder="1"/>
    <xf numFmtId="0" fontId="9" fillId="0" borderId="54" xfId="0" applyFont="1" applyBorder="1" applyAlignment="1">
      <alignment horizontal="left"/>
    </xf>
    <xf numFmtId="0" fontId="0" fillId="0" borderId="16" xfId="0" applyBorder="1"/>
    <xf numFmtId="0" fontId="6" fillId="0" borderId="35" xfId="0" applyFont="1" applyBorder="1" applyAlignment="1" applyProtection="1">
      <alignment horizontal="left"/>
      <protection locked="0"/>
    </xf>
    <xf numFmtId="0" fontId="0" fillId="0" borderId="15" xfId="0" applyBorder="1" applyProtection="1">
      <protection locked="0"/>
    </xf>
    <xf numFmtId="0" fontId="10" fillId="0" borderId="42" xfId="0" applyFont="1" applyBorder="1" applyAlignment="1" applyProtection="1">
      <alignment horizontal="center"/>
      <protection locked="0"/>
    </xf>
    <xf numFmtId="0" fontId="0" fillId="0" borderId="53" xfId="0" applyBorder="1" applyProtection="1">
      <protection locked="0"/>
    </xf>
    <xf numFmtId="0" fontId="8" fillId="0" borderId="52" xfId="0" applyFont="1" applyBorder="1" applyAlignment="1">
      <alignment horizontal="left" vertical="center"/>
    </xf>
    <xf numFmtId="0" fontId="0" fillId="0" borderId="6" xfId="0" applyBorder="1"/>
    <xf numFmtId="0" fontId="8" fillId="0" borderId="55" xfId="0" applyFont="1" applyBorder="1" applyAlignment="1">
      <alignment horizontal="center"/>
    </xf>
    <xf numFmtId="0" fontId="0" fillId="0" borderId="15" xfId="0" applyBorder="1"/>
    <xf numFmtId="0" fontId="8" fillId="0" borderId="51" xfId="0" applyFont="1" applyBorder="1" applyAlignment="1">
      <alignment horizontal="left" vertical="center"/>
    </xf>
    <xf numFmtId="0" fontId="7" fillId="0" borderId="45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7" fillId="4" borderId="37" xfId="0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3000000}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3"/>
  <sheetViews>
    <sheetView tabSelected="1" workbookViewId="0">
      <selection activeCell="B2" sqref="B2"/>
    </sheetView>
  </sheetViews>
  <sheetFormatPr defaultRowHeight="15" x14ac:dyDescent="0.25"/>
  <cols>
    <col min="1" max="1" width="3.5703125" style="99" bestFit="1" customWidth="1"/>
    <col min="2" max="2" width="20.42578125" style="92" bestFit="1" customWidth="1"/>
    <col min="3" max="3" width="31.140625" style="91" bestFit="1" customWidth="1"/>
    <col min="4" max="4" width="21.85546875" style="102" bestFit="1" customWidth="1"/>
    <col min="5" max="5" width="14.140625" style="93" hidden="1" customWidth="1"/>
    <col min="6" max="6" width="16.5703125" style="93" bestFit="1" customWidth="1"/>
    <col min="7" max="7" width="20" style="94" bestFit="1" customWidth="1"/>
    <col min="8" max="8" width="17.85546875" style="91" bestFit="1" customWidth="1"/>
    <col min="9" max="9" width="10.28515625" style="91" bestFit="1" customWidth="1"/>
    <col min="10" max="10" width="9.140625" style="91" customWidth="1"/>
    <col min="11" max="16384" width="9.140625" style="91"/>
  </cols>
  <sheetData>
    <row r="1" spans="1:9" s="100" customFormat="1" x14ac:dyDescent="0.25">
      <c r="A1" s="98" t="s">
        <v>0</v>
      </c>
      <c r="B1" s="101" t="s">
        <v>1</v>
      </c>
      <c r="C1" s="88" t="s">
        <v>2</v>
      </c>
      <c r="D1" s="103" t="s">
        <v>3</v>
      </c>
      <c r="E1" s="89" t="s">
        <v>4</v>
      </c>
      <c r="F1" s="89" t="s">
        <v>5</v>
      </c>
      <c r="G1" s="90" t="s">
        <v>6</v>
      </c>
      <c r="H1" s="88" t="s">
        <v>7</v>
      </c>
      <c r="I1" s="88" t="s">
        <v>8</v>
      </c>
    </row>
    <row r="2" spans="1:9" x14ac:dyDescent="0.25">
      <c r="A2" s="114">
        <v>1</v>
      </c>
      <c r="D2" s="105"/>
      <c r="I2" s="106"/>
    </row>
    <row r="3" spans="1:9" x14ac:dyDescent="0.25">
      <c r="A3" s="114">
        <v>2</v>
      </c>
      <c r="C3" s="107"/>
      <c r="D3" s="105"/>
      <c r="H3" s="108"/>
      <c r="I3" s="106"/>
    </row>
    <row r="4" spans="1:9" x14ac:dyDescent="0.25">
      <c r="A4" s="114">
        <v>3</v>
      </c>
      <c r="D4" s="104"/>
      <c r="I4" s="106"/>
    </row>
    <row r="5" spans="1:9" x14ac:dyDescent="0.25">
      <c r="A5" s="114">
        <v>4</v>
      </c>
      <c r="I5" s="106"/>
    </row>
    <row r="6" spans="1:9" x14ac:dyDescent="0.25">
      <c r="A6" s="114">
        <v>5</v>
      </c>
      <c r="I6" s="106"/>
    </row>
    <row r="7" spans="1:9" x14ac:dyDescent="0.25">
      <c r="A7" s="114">
        <v>6</v>
      </c>
      <c r="I7" s="106"/>
    </row>
    <row r="8" spans="1:9" x14ac:dyDescent="0.25">
      <c r="A8" s="114">
        <v>7</v>
      </c>
      <c r="I8" s="106"/>
    </row>
    <row r="9" spans="1:9" x14ac:dyDescent="0.25">
      <c r="A9" s="114">
        <v>8</v>
      </c>
      <c r="I9" s="106"/>
    </row>
    <row r="10" spans="1:9" x14ac:dyDescent="0.25">
      <c r="A10" s="114">
        <v>9</v>
      </c>
      <c r="I10" s="106"/>
    </row>
    <row r="11" spans="1:9" x14ac:dyDescent="0.25">
      <c r="A11" s="114">
        <v>10</v>
      </c>
      <c r="I11" s="106"/>
    </row>
    <row r="12" spans="1:9" x14ac:dyDescent="0.25">
      <c r="A12" s="114">
        <v>11</v>
      </c>
      <c r="I12" s="106"/>
    </row>
    <row r="13" spans="1:9" x14ac:dyDescent="0.25">
      <c r="A13" s="114">
        <v>12</v>
      </c>
      <c r="B13" s="115"/>
      <c r="C13"/>
      <c r="D13"/>
      <c r="H13"/>
      <c r="I13" s="106"/>
    </row>
    <row r="14" spans="1:9" x14ac:dyDescent="0.25">
      <c r="A14" s="114">
        <v>13</v>
      </c>
      <c r="B14" s="115"/>
      <c r="C14"/>
      <c r="D14"/>
      <c r="H14"/>
      <c r="I14" s="106"/>
    </row>
    <row r="15" spans="1:9" x14ac:dyDescent="0.25">
      <c r="A15" s="114">
        <v>14</v>
      </c>
      <c r="B15" s="115"/>
      <c r="C15"/>
      <c r="D15"/>
      <c r="H15"/>
      <c r="I15" s="106"/>
    </row>
    <row r="16" spans="1:9" x14ac:dyDescent="0.25">
      <c r="A16" s="114">
        <v>15</v>
      </c>
      <c r="B16" s="115"/>
      <c r="C16"/>
      <c r="D16"/>
      <c r="G16" s="109"/>
      <c r="H16"/>
      <c r="I16" s="106"/>
    </row>
    <row r="17" spans="1:9" x14ac:dyDescent="0.25">
      <c r="A17" s="114">
        <v>16</v>
      </c>
      <c r="B17" s="115"/>
      <c r="C17"/>
      <c r="D17"/>
      <c r="H17"/>
      <c r="I17" s="106"/>
    </row>
    <row r="18" spans="1:9" x14ac:dyDescent="0.25">
      <c r="A18" s="114">
        <v>17</v>
      </c>
      <c r="B18" s="115"/>
      <c r="C18"/>
      <c r="D18"/>
      <c r="H18"/>
      <c r="I18" s="106"/>
    </row>
    <row r="19" spans="1:9" x14ac:dyDescent="0.25">
      <c r="A19" s="114">
        <v>18</v>
      </c>
      <c r="B19" s="115"/>
      <c r="C19"/>
      <c r="D19"/>
      <c r="H19"/>
      <c r="I19" s="106"/>
    </row>
    <row r="20" spans="1:9" x14ac:dyDescent="0.25">
      <c r="A20" s="114">
        <v>19</v>
      </c>
      <c r="B20" s="115"/>
      <c r="C20"/>
      <c r="D20"/>
      <c r="H20"/>
      <c r="I20" s="106"/>
    </row>
    <row r="21" spans="1:9" x14ac:dyDescent="0.25">
      <c r="A21" s="114">
        <v>20</v>
      </c>
      <c r="B21" s="115"/>
      <c r="C21"/>
      <c r="D21"/>
      <c r="H21"/>
      <c r="I21" s="106"/>
    </row>
    <row r="22" spans="1:9" x14ac:dyDescent="0.25">
      <c r="A22" s="114">
        <v>21</v>
      </c>
      <c r="B22" s="115"/>
      <c r="C22"/>
      <c r="D22"/>
      <c r="H22"/>
      <c r="I22" s="106"/>
    </row>
    <row r="23" spans="1:9" x14ac:dyDescent="0.25">
      <c r="A23" s="114">
        <v>22</v>
      </c>
      <c r="B23" s="115"/>
      <c r="C23"/>
      <c r="D23"/>
      <c r="H23"/>
      <c r="I23" s="106"/>
    </row>
    <row r="24" spans="1:9" x14ac:dyDescent="0.25">
      <c r="A24" s="114">
        <v>23</v>
      </c>
      <c r="B24" s="115"/>
      <c r="C24"/>
      <c r="D24"/>
      <c r="H24"/>
      <c r="I24" s="106"/>
    </row>
    <row r="25" spans="1:9" x14ac:dyDescent="0.25">
      <c r="A25" s="114">
        <v>24</v>
      </c>
      <c r="B25" s="115"/>
      <c r="C25"/>
      <c r="D25"/>
      <c r="H25"/>
      <c r="I25" s="106"/>
    </row>
    <row r="26" spans="1:9" x14ac:dyDescent="0.25">
      <c r="A26" s="114">
        <v>25</v>
      </c>
      <c r="B26" s="115"/>
      <c r="C26"/>
      <c r="D26"/>
      <c r="H26"/>
      <c r="I26" s="106"/>
    </row>
    <row r="27" spans="1:9" x14ac:dyDescent="0.25">
      <c r="A27" s="114">
        <v>26</v>
      </c>
      <c r="B27" s="115"/>
      <c r="C27"/>
      <c r="D27"/>
      <c r="H27"/>
      <c r="I27" s="106"/>
    </row>
    <row r="28" spans="1:9" x14ac:dyDescent="0.25">
      <c r="A28" s="114">
        <v>27</v>
      </c>
      <c r="B28" s="115"/>
      <c r="C28"/>
      <c r="D28"/>
      <c r="H28"/>
      <c r="I28" s="106"/>
    </row>
    <row r="29" spans="1:9" x14ac:dyDescent="0.25">
      <c r="A29" s="114">
        <v>28</v>
      </c>
      <c r="B29" s="115"/>
      <c r="C29"/>
      <c r="D29"/>
      <c r="H29"/>
      <c r="I29" s="106"/>
    </row>
    <row r="30" spans="1:9" x14ac:dyDescent="0.25">
      <c r="A30" s="114">
        <v>29</v>
      </c>
      <c r="B30" s="115"/>
      <c r="C30"/>
      <c r="D30"/>
      <c r="H30"/>
      <c r="I30" s="106"/>
    </row>
    <row r="31" spans="1:9" x14ac:dyDescent="0.25">
      <c r="A31" s="114">
        <v>30</v>
      </c>
      <c r="B31" s="115"/>
      <c r="C31"/>
      <c r="D31"/>
      <c r="H31"/>
      <c r="I31" s="106"/>
    </row>
    <row r="32" spans="1:9" x14ac:dyDescent="0.25">
      <c r="A32" s="114">
        <v>31</v>
      </c>
      <c r="B32" s="115"/>
      <c r="C32"/>
      <c r="D32"/>
      <c r="H32"/>
      <c r="I32" s="106"/>
    </row>
    <row r="33" spans="1:9" x14ac:dyDescent="0.25">
      <c r="A33" s="114">
        <v>32</v>
      </c>
      <c r="B33" s="115"/>
      <c r="C33"/>
      <c r="D33"/>
      <c r="H33"/>
      <c r="I33" s="106"/>
    </row>
    <row r="34" spans="1:9" x14ac:dyDescent="0.25">
      <c r="A34" s="114">
        <v>33</v>
      </c>
      <c r="B34" s="115"/>
      <c r="C34"/>
      <c r="D34"/>
      <c r="H34"/>
      <c r="I34" s="106"/>
    </row>
    <row r="35" spans="1:9" x14ac:dyDescent="0.25">
      <c r="A35" s="114">
        <v>34</v>
      </c>
      <c r="B35" s="115"/>
      <c r="C35" s="110"/>
      <c r="D35"/>
      <c r="H35"/>
      <c r="I35" s="106"/>
    </row>
    <row r="36" spans="1:9" x14ac:dyDescent="0.25">
      <c r="A36" s="114">
        <v>35</v>
      </c>
      <c r="B36" s="115"/>
      <c r="C36"/>
      <c r="D36"/>
      <c r="H36"/>
      <c r="I36" s="106"/>
    </row>
    <row r="37" spans="1:9" x14ac:dyDescent="0.25">
      <c r="A37" s="114">
        <v>36</v>
      </c>
      <c r="B37" s="115"/>
      <c r="C37"/>
      <c r="D37"/>
      <c r="H37"/>
      <c r="I37" s="106"/>
    </row>
    <row r="38" spans="1:9" x14ac:dyDescent="0.25">
      <c r="A38" s="114">
        <v>37</v>
      </c>
      <c r="B38" s="115"/>
      <c r="C38"/>
      <c r="D38"/>
      <c r="H38"/>
      <c r="I38" s="106"/>
    </row>
    <row r="39" spans="1:9" x14ac:dyDescent="0.25">
      <c r="A39" s="114">
        <v>38</v>
      </c>
      <c r="B39" s="115"/>
      <c r="C39"/>
      <c r="D39"/>
      <c r="H39"/>
      <c r="I39" s="106"/>
    </row>
    <row r="40" spans="1:9" x14ac:dyDescent="0.25">
      <c r="A40" s="114">
        <v>39</v>
      </c>
      <c r="B40" s="115"/>
      <c r="C40"/>
      <c r="D40"/>
      <c r="H40"/>
      <c r="I40" s="106"/>
    </row>
    <row r="41" spans="1:9" x14ac:dyDescent="0.25">
      <c r="A41" s="114">
        <v>40</v>
      </c>
      <c r="B41" s="115"/>
      <c r="C41"/>
      <c r="D41"/>
      <c r="H41"/>
      <c r="I41" s="106"/>
    </row>
    <row r="42" spans="1:9" x14ac:dyDescent="0.25">
      <c r="A42" s="114">
        <v>41</v>
      </c>
      <c r="B42" s="115"/>
      <c r="C42"/>
      <c r="D42"/>
      <c r="H42"/>
      <c r="I42" s="106"/>
    </row>
    <row r="43" spans="1:9" x14ac:dyDescent="0.25">
      <c r="A43" s="114">
        <v>42</v>
      </c>
      <c r="B43" s="115"/>
      <c r="C43"/>
      <c r="D43"/>
      <c r="H43"/>
      <c r="I43" s="106"/>
    </row>
    <row r="44" spans="1:9" x14ac:dyDescent="0.25">
      <c r="A44" s="114">
        <v>43</v>
      </c>
      <c r="B44" s="115"/>
      <c r="C44"/>
      <c r="D44"/>
      <c r="H44"/>
      <c r="I44" s="106"/>
    </row>
    <row r="45" spans="1:9" ht="17.25" customHeight="1" x14ac:dyDescent="0.25">
      <c r="A45" s="114">
        <v>44</v>
      </c>
      <c r="B45" s="115"/>
      <c r="C45"/>
      <c r="D45"/>
      <c r="H45"/>
      <c r="I45" s="106"/>
    </row>
    <row r="46" spans="1:9" x14ac:dyDescent="0.25">
      <c r="A46" s="120">
        <v>45</v>
      </c>
      <c r="B46" s="115"/>
      <c r="C46"/>
      <c r="D46"/>
      <c r="H46"/>
      <c r="I46" s="106"/>
    </row>
    <row r="47" spans="1:9" x14ac:dyDescent="0.25">
      <c r="A47" s="121"/>
      <c r="I47" s="106"/>
    </row>
    <row r="48" spans="1:9" x14ac:dyDescent="0.25">
      <c r="A48" s="114">
        <v>46</v>
      </c>
      <c r="B48" s="115"/>
      <c r="C48" s="110"/>
      <c r="D48"/>
      <c r="H48"/>
      <c r="I48" s="106"/>
    </row>
    <row r="49" spans="1:10" x14ac:dyDescent="0.25">
      <c r="A49" s="114">
        <v>47</v>
      </c>
      <c r="B49" s="115"/>
      <c r="C49"/>
      <c r="D49"/>
      <c r="H49"/>
      <c r="I49" s="106"/>
    </row>
    <row r="50" spans="1:10" x14ac:dyDescent="0.25">
      <c r="A50" s="114">
        <v>48</v>
      </c>
      <c r="B50" s="115"/>
      <c r="C50"/>
      <c r="D50"/>
      <c r="H50"/>
      <c r="I50" s="106"/>
    </row>
    <row r="51" spans="1:10" x14ac:dyDescent="0.25">
      <c r="A51" s="114">
        <v>49</v>
      </c>
      <c r="B51" s="115"/>
      <c r="C51"/>
      <c r="D51"/>
      <c r="H51"/>
      <c r="I51" s="106"/>
    </row>
    <row r="52" spans="1:10" x14ac:dyDescent="0.25">
      <c r="A52" s="114">
        <v>50</v>
      </c>
      <c r="B52" s="115"/>
      <c r="C52"/>
      <c r="D52"/>
      <c r="H52"/>
      <c r="I52" s="106"/>
    </row>
    <row r="53" spans="1:10" x14ac:dyDescent="0.25">
      <c r="A53" s="114">
        <v>51</v>
      </c>
      <c r="B53" s="115"/>
      <c r="C53"/>
      <c r="D53"/>
      <c r="H53"/>
      <c r="I53" s="106"/>
      <c r="J53" s="111"/>
    </row>
    <row r="54" spans="1:10" x14ac:dyDescent="0.25">
      <c r="A54" s="120">
        <v>52</v>
      </c>
      <c r="B54" s="115"/>
      <c r="C54"/>
      <c r="D54" s="123"/>
      <c r="G54" s="112"/>
      <c r="H54" s="122"/>
      <c r="I54" s="106"/>
    </row>
    <row r="55" spans="1:10" x14ac:dyDescent="0.25">
      <c r="A55" s="121"/>
      <c r="D55" s="119"/>
      <c r="G55" s="112"/>
      <c r="H55" s="118"/>
      <c r="I55" s="106"/>
    </row>
    <row r="56" spans="1:10" x14ac:dyDescent="0.25">
      <c r="A56" s="114">
        <v>53</v>
      </c>
      <c r="B56" s="115"/>
      <c r="C56"/>
      <c r="D56"/>
      <c r="H56"/>
      <c r="I56" s="106"/>
    </row>
    <row r="57" spans="1:10" x14ac:dyDescent="0.25">
      <c r="A57" s="114">
        <v>54</v>
      </c>
      <c r="B57" s="115"/>
      <c r="C57"/>
      <c r="D57"/>
      <c r="H57"/>
      <c r="I57" s="106"/>
      <c r="J57" s="111"/>
    </row>
    <row r="58" spans="1:10" x14ac:dyDescent="0.25">
      <c r="A58" s="114">
        <v>55</v>
      </c>
      <c r="B58" s="115"/>
      <c r="C58"/>
      <c r="D58"/>
      <c r="H58"/>
      <c r="I58" s="106"/>
    </row>
    <row r="59" spans="1:10" x14ac:dyDescent="0.25">
      <c r="A59" s="114">
        <v>56</v>
      </c>
      <c r="B59" s="115"/>
      <c r="C59"/>
      <c r="D59"/>
      <c r="H59"/>
      <c r="I59" s="106"/>
    </row>
    <row r="60" spans="1:10" x14ac:dyDescent="0.25">
      <c r="A60" s="114">
        <v>57</v>
      </c>
      <c r="B60" s="115"/>
      <c r="C60"/>
      <c r="D60"/>
      <c r="H60"/>
      <c r="I60" s="106"/>
    </row>
    <row r="61" spans="1:10" x14ac:dyDescent="0.25">
      <c r="A61" s="114">
        <v>58</v>
      </c>
      <c r="B61" s="115"/>
      <c r="C61"/>
      <c r="D61"/>
      <c r="H61"/>
      <c r="I61" s="106"/>
    </row>
    <row r="62" spans="1:10" x14ac:dyDescent="0.25">
      <c r="A62" s="114">
        <v>59</v>
      </c>
      <c r="B62" s="115"/>
      <c r="C62"/>
      <c r="D62"/>
      <c r="H62"/>
      <c r="I62" s="106"/>
    </row>
    <row r="63" spans="1:10" x14ac:dyDescent="0.25">
      <c r="A63" s="114">
        <v>60</v>
      </c>
      <c r="B63" s="115"/>
      <c r="C63"/>
      <c r="D63"/>
      <c r="H63"/>
      <c r="I63" s="106"/>
    </row>
    <row r="64" spans="1:10" x14ac:dyDescent="0.25">
      <c r="A64" s="114">
        <v>61</v>
      </c>
      <c r="B64" s="115"/>
      <c r="C64"/>
      <c r="D64"/>
      <c r="H64"/>
      <c r="I64" s="106"/>
    </row>
    <row r="65" spans="1:10" x14ac:dyDescent="0.25">
      <c r="A65" s="114">
        <v>62</v>
      </c>
      <c r="B65" s="115"/>
      <c r="C65"/>
      <c r="D65"/>
      <c r="G65" s="109"/>
      <c r="H65"/>
      <c r="I65" s="106"/>
    </row>
    <row r="66" spans="1:10" x14ac:dyDescent="0.25">
      <c r="A66" s="114">
        <v>63</v>
      </c>
      <c r="B66" s="115"/>
      <c r="C66"/>
      <c r="D66"/>
      <c r="H66"/>
      <c r="I66" s="106"/>
    </row>
    <row r="67" spans="1:10" x14ac:dyDescent="0.25">
      <c r="A67" s="114">
        <v>64</v>
      </c>
      <c r="B67" s="115"/>
      <c r="C67"/>
      <c r="D67" s="113"/>
      <c r="H67" s="108"/>
      <c r="I67" s="106"/>
      <c r="J67" s="111"/>
    </row>
    <row r="68" spans="1:10" x14ac:dyDescent="0.25">
      <c r="A68" s="116" t="s">
        <v>13</v>
      </c>
      <c r="B68" s="117"/>
      <c r="C68" s="118"/>
      <c r="D68" s="119"/>
      <c r="E68" s="95">
        <f>SUM(E2:E67)</f>
        <v>0</v>
      </c>
      <c r="F68" s="95">
        <f>SUM(F2:F67)</f>
        <v>0</v>
      </c>
      <c r="G68" s="96">
        <f>SUM(G2:G67)</f>
        <v>0</v>
      </c>
      <c r="H68" s="97"/>
      <c r="I68" s="97"/>
    </row>
    <row r="70" spans="1:10" x14ac:dyDescent="0.25">
      <c r="D70" s="104" t="s">
        <v>14</v>
      </c>
      <c r="F70" s="93">
        <f>F67+F3</f>
        <v>0</v>
      </c>
    </row>
    <row r="71" spans="1:10" x14ac:dyDescent="0.25">
      <c r="D71" s="104" t="s">
        <v>15</v>
      </c>
      <c r="F71" s="93">
        <f>F2</f>
        <v>0</v>
      </c>
    </row>
    <row r="72" spans="1:10" x14ac:dyDescent="0.25">
      <c r="D72" s="104" t="s">
        <v>16</v>
      </c>
      <c r="F72" s="93">
        <f>SUM(F4:F53) + SUM(F56:F66)</f>
        <v>0</v>
      </c>
    </row>
    <row r="73" spans="1:10" x14ac:dyDescent="0.25">
      <c r="D73" s="104" t="s">
        <v>17</v>
      </c>
      <c r="F73" s="93">
        <f>F54+F55</f>
        <v>0</v>
      </c>
    </row>
  </sheetData>
  <autoFilter ref="B1:I67" xr:uid="{00000000-0009-0000-0000-000000000000}"/>
  <mergeCells count="5">
    <mergeCell ref="A68:D68"/>
    <mergeCell ref="A46:A47"/>
    <mergeCell ref="A54:A55"/>
    <mergeCell ref="H54:H55"/>
    <mergeCell ref="D54:D5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V67"/>
  <sheetViews>
    <sheetView zoomScaleNormal="100" zoomScaleSheetLayoutView="100" workbookViewId="0">
      <pane ySplit="8" topLeftCell="A9" activePane="bottomLeft" state="frozen"/>
      <selection pane="bottomLeft" activeCell="J5" sqref="J5"/>
    </sheetView>
  </sheetViews>
  <sheetFormatPr defaultColWidth="10" defaultRowHeight="12.75" x14ac:dyDescent="0.2"/>
  <cols>
    <col min="1" max="1" width="10" style="2" customWidth="1"/>
    <col min="2" max="11" width="20.7109375" style="2" customWidth="1"/>
    <col min="12" max="35" width="9.5703125" style="2" customWidth="1"/>
    <col min="36" max="36" width="10" style="2" customWidth="1"/>
    <col min="37" max="16384" width="10" style="2"/>
  </cols>
  <sheetData>
    <row r="1" spans="2:22" s="11" customFormat="1" ht="28.35" customHeight="1" x14ac:dyDescent="0.2">
      <c r="B1" s="146" t="s">
        <v>18</v>
      </c>
      <c r="C1" s="147"/>
      <c r="D1" s="147"/>
      <c r="E1" s="147"/>
      <c r="F1" s="147"/>
      <c r="G1" s="147"/>
      <c r="H1" s="147"/>
      <c r="I1" s="147"/>
      <c r="J1" s="147"/>
      <c r="K1" s="147"/>
    </row>
    <row r="2" spans="2:22" x14ac:dyDescent="0.2">
      <c r="C2" s="49"/>
      <c r="H2" s="72" t="s">
        <v>19</v>
      </c>
      <c r="I2" s="21"/>
      <c r="J2" s="1"/>
      <c r="K2" s="23"/>
    </row>
    <row r="3" spans="2:22" x14ac:dyDescent="0.2">
      <c r="B3" s="2" t="s">
        <v>20</v>
      </c>
      <c r="C3" s="49"/>
    </row>
    <row r="4" spans="2:22" x14ac:dyDescent="0.2">
      <c r="B4" s="4" t="s">
        <v>21</v>
      </c>
      <c r="C4" s="48"/>
      <c r="D4" s="71"/>
      <c r="E4" s="71"/>
      <c r="F4" s="26"/>
      <c r="G4" s="13" t="s">
        <v>22</v>
      </c>
      <c r="H4" s="57"/>
      <c r="I4" s="26"/>
      <c r="J4" s="26"/>
      <c r="K4" s="26"/>
    </row>
    <row r="5" spans="2:22" ht="12.75" customHeight="1" x14ac:dyDescent="0.2">
      <c r="B5" s="5" t="s">
        <v>23</v>
      </c>
      <c r="C5" s="58"/>
      <c r="D5" s="26"/>
      <c r="E5" s="3" t="s">
        <v>24</v>
      </c>
      <c r="F5" s="59"/>
      <c r="G5" s="3" t="s">
        <v>25</v>
      </c>
      <c r="H5" s="60"/>
      <c r="I5" s="3" t="s">
        <v>26</v>
      </c>
      <c r="J5" s="61"/>
      <c r="K5" s="26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2:22" ht="13.5" customHeight="1" thickBot="1" x14ac:dyDescent="0.25">
      <c r="B6" s="184" t="s">
        <v>27</v>
      </c>
      <c r="C6" s="185"/>
      <c r="D6" s="185"/>
      <c r="E6" s="185"/>
      <c r="F6" s="185"/>
      <c r="G6" s="185"/>
      <c r="H6" s="185"/>
      <c r="I6" s="185"/>
      <c r="J6" s="185"/>
      <c r="K6" s="177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spans="2:22" ht="12.75" customHeight="1" x14ac:dyDescent="0.2">
      <c r="B7" s="148" t="s">
        <v>28</v>
      </c>
      <c r="C7" s="149"/>
      <c r="D7" s="19"/>
      <c r="E7" s="19"/>
      <c r="F7" s="19"/>
      <c r="G7" s="19"/>
      <c r="H7" s="19"/>
      <c r="I7" s="19"/>
      <c r="J7" s="19"/>
      <c r="K7" s="20" t="s">
        <v>29</v>
      </c>
      <c r="M7" s="73"/>
      <c r="N7" s="73"/>
      <c r="O7" s="73"/>
      <c r="P7" s="73"/>
      <c r="Q7" s="73"/>
      <c r="R7" s="73"/>
      <c r="S7" s="73"/>
      <c r="T7" s="73"/>
      <c r="U7" s="73"/>
      <c r="V7" s="73"/>
    </row>
    <row r="8" spans="2:22" s="10" customFormat="1" ht="13.35" customHeight="1" x14ac:dyDescent="0.2">
      <c r="B8" s="189" t="s">
        <v>30</v>
      </c>
      <c r="C8" s="125"/>
      <c r="D8" s="31"/>
      <c r="E8" s="31"/>
      <c r="F8" s="31"/>
      <c r="G8" s="31"/>
      <c r="H8" s="31"/>
      <c r="I8" s="31"/>
      <c r="J8" s="31"/>
      <c r="K8" s="50"/>
      <c r="L8" s="12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2:22" ht="12.6" customHeight="1" x14ac:dyDescent="0.2">
      <c r="B9" s="124" t="s">
        <v>31</v>
      </c>
      <c r="C9" s="125"/>
      <c r="D9" s="75"/>
      <c r="E9" s="75"/>
      <c r="F9" s="75"/>
      <c r="G9" s="75"/>
      <c r="H9" s="75"/>
      <c r="I9" s="75"/>
      <c r="J9" s="75"/>
      <c r="K9" s="76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 spans="2:22" ht="12.6" customHeight="1" x14ac:dyDescent="0.2">
      <c r="B10" s="124" t="s">
        <v>32</v>
      </c>
      <c r="C10" s="125"/>
      <c r="D10" s="75"/>
      <c r="E10" s="75"/>
      <c r="F10" s="75"/>
      <c r="G10" s="75"/>
      <c r="H10" s="75"/>
      <c r="I10" s="75"/>
      <c r="J10" s="75"/>
      <c r="K10" s="76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2:22" ht="12.6" customHeight="1" x14ac:dyDescent="0.2">
      <c r="B11" s="124" t="s">
        <v>32</v>
      </c>
      <c r="C11" s="125"/>
      <c r="D11" s="75"/>
      <c r="E11" s="75"/>
      <c r="F11" s="75"/>
      <c r="G11" s="75"/>
      <c r="H11" s="75"/>
      <c r="I11" s="75"/>
      <c r="J11" s="75"/>
      <c r="K11" s="76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2:22" ht="12.6" customHeight="1" x14ac:dyDescent="0.2">
      <c r="B12" s="124" t="s">
        <v>32</v>
      </c>
      <c r="C12" s="125"/>
      <c r="D12" s="75"/>
      <c r="E12" s="75"/>
      <c r="F12" s="75"/>
      <c r="G12" s="75"/>
      <c r="H12" s="75"/>
      <c r="I12" s="75"/>
      <c r="J12" s="75"/>
      <c r="K12" s="76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spans="2:22" ht="12.6" customHeight="1" x14ac:dyDescent="0.2">
      <c r="B13" s="124" t="s">
        <v>32</v>
      </c>
      <c r="C13" s="125"/>
      <c r="D13" s="75"/>
      <c r="E13" s="75"/>
      <c r="F13" s="75"/>
      <c r="G13" s="75"/>
      <c r="H13" s="75"/>
      <c r="I13" s="75"/>
      <c r="J13" s="75"/>
      <c r="K13" s="76"/>
      <c r="M13" s="73"/>
      <c r="N13" s="73"/>
      <c r="O13" s="73"/>
      <c r="P13" s="73"/>
      <c r="Q13" s="73"/>
      <c r="R13" s="73"/>
      <c r="S13" s="73"/>
      <c r="T13" s="73"/>
      <c r="U13" s="73"/>
      <c r="V13" s="73"/>
    </row>
    <row r="14" spans="2:22" ht="13.35" customHeight="1" x14ac:dyDescent="0.2">
      <c r="B14" s="124" t="s">
        <v>33</v>
      </c>
      <c r="C14" s="125"/>
      <c r="D14" s="75"/>
      <c r="E14" s="75"/>
      <c r="F14" s="75"/>
      <c r="G14" s="75"/>
      <c r="H14" s="75"/>
      <c r="I14" s="75"/>
      <c r="J14" s="75"/>
      <c r="K14" s="76">
        <f t="shared" ref="K14:K34" si="0">SUM(D14:J14)</f>
        <v>0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</row>
    <row r="15" spans="2:22" ht="13.35" customHeight="1" x14ac:dyDescent="0.2">
      <c r="B15" s="124" t="s">
        <v>34</v>
      </c>
      <c r="C15" s="125"/>
      <c r="D15" s="75"/>
      <c r="E15" s="75"/>
      <c r="F15" s="75"/>
      <c r="G15" s="75"/>
      <c r="H15" s="75"/>
      <c r="I15" s="75"/>
      <c r="J15" s="75"/>
      <c r="K15" s="76">
        <f t="shared" si="0"/>
        <v>0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</row>
    <row r="16" spans="2:22" x14ac:dyDescent="0.2">
      <c r="B16" s="151" t="s">
        <v>35</v>
      </c>
      <c r="C16" s="125"/>
      <c r="D16" s="74"/>
      <c r="E16" s="74"/>
      <c r="F16" s="74"/>
      <c r="G16" s="74"/>
      <c r="H16" s="74"/>
      <c r="I16" s="74"/>
      <c r="J16" s="74"/>
      <c r="K16" s="76">
        <f t="shared" si="0"/>
        <v>0</v>
      </c>
    </row>
    <row r="17" spans="2:11" x14ac:dyDescent="0.2">
      <c r="B17" s="151" t="s">
        <v>36</v>
      </c>
      <c r="C17" s="125"/>
      <c r="D17" s="74"/>
      <c r="E17" s="74"/>
      <c r="F17" s="74"/>
      <c r="G17" s="74"/>
      <c r="H17" s="74"/>
      <c r="I17" s="74"/>
      <c r="J17" s="74"/>
      <c r="K17" s="76">
        <f t="shared" si="0"/>
        <v>0</v>
      </c>
    </row>
    <row r="18" spans="2:11" x14ac:dyDescent="0.2">
      <c r="B18" s="151" t="s">
        <v>37</v>
      </c>
      <c r="C18" s="125"/>
      <c r="D18" s="77"/>
      <c r="E18" s="74"/>
      <c r="F18" s="74"/>
      <c r="G18" s="74"/>
      <c r="H18" s="74"/>
      <c r="I18" s="74"/>
      <c r="J18" s="74"/>
      <c r="K18" s="76">
        <f t="shared" si="0"/>
        <v>0</v>
      </c>
    </row>
    <row r="19" spans="2:11" ht="13.5" customHeight="1" thickBot="1" x14ac:dyDescent="0.25">
      <c r="B19" s="155" t="s">
        <v>38</v>
      </c>
      <c r="C19" s="156"/>
      <c r="D19" s="78"/>
      <c r="E19" s="78"/>
      <c r="F19" s="78"/>
      <c r="G19" s="78"/>
      <c r="H19" s="78"/>
      <c r="I19" s="78"/>
      <c r="J19" s="78"/>
      <c r="K19" s="76">
        <f t="shared" si="0"/>
        <v>0</v>
      </c>
    </row>
    <row r="20" spans="2:11" ht="13.5" customHeight="1" thickBot="1" x14ac:dyDescent="0.25">
      <c r="B20" s="158" t="s">
        <v>10</v>
      </c>
      <c r="C20" s="138"/>
      <c r="D20" s="79"/>
      <c r="E20" s="79"/>
      <c r="F20" s="79"/>
      <c r="G20" s="79"/>
      <c r="H20" s="79"/>
      <c r="I20" s="79"/>
      <c r="J20" s="80"/>
      <c r="K20" s="81">
        <f t="shared" si="0"/>
        <v>0</v>
      </c>
    </row>
    <row r="21" spans="2:11" x14ac:dyDescent="0.2">
      <c r="B21" s="186" t="s">
        <v>39</v>
      </c>
      <c r="C21" s="149"/>
      <c r="D21" s="82"/>
      <c r="E21" s="82"/>
      <c r="F21" s="82"/>
      <c r="G21" s="82"/>
      <c r="H21" s="82"/>
      <c r="I21" s="82"/>
      <c r="J21" s="83"/>
      <c r="K21" s="81">
        <f t="shared" si="0"/>
        <v>0</v>
      </c>
    </row>
    <row r="22" spans="2:11" x14ac:dyDescent="0.2">
      <c r="B22" s="182" t="s">
        <v>40</v>
      </c>
      <c r="C22" s="183"/>
      <c r="D22" s="82"/>
      <c r="E22" s="82"/>
      <c r="F22" s="82"/>
      <c r="G22" s="82"/>
      <c r="H22" s="82"/>
      <c r="I22" s="82"/>
      <c r="J22" s="82"/>
      <c r="K22" s="84">
        <f t="shared" si="0"/>
        <v>0</v>
      </c>
    </row>
    <row r="23" spans="2:11" x14ac:dyDescent="0.2">
      <c r="B23" s="151" t="s">
        <v>41</v>
      </c>
      <c r="C23" s="125"/>
      <c r="D23" s="74"/>
      <c r="E23" s="74"/>
      <c r="F23" s="74"/>
      <c r="G23" s="74"/>
      <c r="H23" s="74"/>
      <c r="I23" s="74"/>
      <c r="J23" s="74"/>
      <c r="K23" s="76">
        <f t="shared" si="0"/>
        <v>0</v>
      </c>
    </row>
    <row r="24" spans="2:11" x14ac:dyDescent="0.2">
      <c r="B24" s="151" t="s">
        <v>12</v>
      </c>
      <c r="C24" s="125"/>
      <c r="D24" s="74"/>
      <c r="E24" s="74"/>
      <c r="F24" s="74"/>
      <c r="G24" s="74"/>
      <c r="H24" s="74"/>
      <c r="I24" s="74"/>
      <c r="J24" s="74"/>
      <c r="K24" s="76">
        <f t="shared" si="0"/>
        <v>0</v>
      </c>
    </row>
    <row r="25" spans="2:11" x14ac:dyDescent="0.2">
      <c r="B25" s="151" t="s">
        <v>42</v>
      </c>
      <c r="C25" s="125"/>
      <c r="D25" s="85"/>
      <c r="E25" s="85"/>
      <c r="F25" s="85"/>
      <c r="G25" s="85"/>
      <c r="H25" s="85"/>
      <c r="I25" s="85"/>
      <c r="J25" s="85"/>
      <c r="K25" s="76">
        <f t="shared" si="0"/>
        <v>0</v>
      </c>
    </row>
    <row r="26" spans="2:11" x14ac:dyDescent="0.2">
      <c r="B26" s="151" t="s">
        <v>43</v>
      </c>
      <c r="C26" s="125"/>
      <c r="D26" s="74"/>
      <c r="E26" s="74"/>
      <c r="F26" s="74"/>
      <c r="G26" s="74"/>
      <c r="H26" s="74"/>
      <c r="I26" s="74"/>
      <c r="J26" s="74"/>
      <c r="K26" s="76">
        <f t="shared" si="0"/>
        <v>0</v>
      </c>
    </row>
    <row r="27" spans="2:11" x14ac:dyDescent="0.2">
      <c r="B27" s="151" t="s">
        <v>44</v>
      </c>
      <c r="C27" s="125"/>
      <c r="D27" s="86"/>
      <c r="E27" s="86"/>
      <c r="F27" s="86"/>
      <c r="G27" s="86"/>
      <c r="H27" s="86"/>
      <c r="I27" s="86"/>
      <c r="J27" s="86"/>
      <c r="K27" s="76">
        <f t="shared" si="0"/>
        <v>0</v>
      </c>
    </row>
    <row r="28" spans="2:11" x14ac:dyDescent="0.2">
      <c r="B28" s="151" t="s">
        <v>45</v>
      </c>
      <c r="C28" s="125"/>
      <c r="D28" s="74"/>
      <c r="E28" s="74"/>
      <c r="F28" s="74"/>
      <c r="G28" s="74"/>
      <c r="H28" s="74"/>
      <c r="I28" s="74"/>
      <c r="J28" s="74"/>
      <c r="K28" s="76">
        <f t="shared" si="0"/>
        <v>0</v>
      </c>
    </row>
    <row r="29" spans="2:11" x14ac:dyDescent="0.2">
      <c r="B29" s="151" t="s">
        <v>46</v>
      </c>
      <c r="C29" s="125"/>
      <c r="D29" s="74"/>
      <c r="E29" s="74"/>
      <c r="F29" s="74"/>
      <c r="G29" s="74"/>
      <c r="H29" s="74"/>
      <c r="I29" s="74"/>
      <c r="J29" s="74"/>
      <c r="K29" s="76">
        <f t="shared" si="0"/>
        <v>0</v>
      </c>
    </row>
    <row r="30" spans="2:11" x14ac:dyDescent="0.2">
      <c r="B30" s="151" t="s">
        <v>47</v>
      </c>
      <c r="C30" s="125"/>
      <c r="D30" s="74"/>
      <c r="E30" s="74"/>
      <c r="F30" s="74"/>
      <c r="G30" s="74"/>
      <c r="H30" s="74"/>
      <c r="I30" s="74"/>
      <c r="J30" s="74"/>
      <c r="K30" s="76">
        <f t="shared" si="0"/>
        <v>0</v>
      </c>
    </row>
    <row r="31" spans="2:11" x14ac:dyDescent="0.2">
      <c r="B31" s="151" t="s">
        <v>48</v>
      </c>
      <c r="C31" s="125"/>
      <c r="D31" s="74"/>
      <c r="E31" s="74"/>
      <c r="F31" s="74"/>
      <c r="G31" s="74"/>
      <c r="H31" s="74"/>
      <c r="I31" s="74"/>
      <c r="J31" s="74"/>
      <c r="K31" s="76">
        <f t="shared" si="0"/>
        <v>0</v>
      </c>
    </row>
    <row r="32" spans="2:11" x14ac:dyDescent="0.2">
      <c r="B32" s="151" t="s">
        <v>9</v>
      </c>
      <c r="C32" s="125"/>
      <c r="D32" s="74"/>
      <c r="E32" s="74"/>
      <c r="F32" s="74"/>
      <c r="G32" s="74"/>
      <c r="H32" s="74"/>
      <c r="I32" s="74"/>
      <c r="J32" s="74"/>
      <c r="K32" s="76">
        <f t="shared" si="0"/>
        <v>0</v>
      </c>
    </row>
    <row r="33" spans="2:11" x14ac:dyDescent="0.2">
      <c r="B33" s="151" t="s">
        <v>11</v>
      </c>
      <c r="C33" s="125"/>
      <c r="D33" s="74"/>
      <c r="E33" s="74"/>
      <c r="F33" s="74"/>
      <c r="G33" s="74"/>
      <c r="H33" s="74"/>
      <c r="I33" s="74"/>
      <c r="J33" s="74"/>
      <c r="K33" s="76">
        <f t="shared" si="0"/>
        <v>0</v>
      </c>
    </row>
    <row r="34" spans="2:11" ht="13.5" customHeight="1" thickBot="1" x14ac:dyDescent="0.25">
      <c r="B34" s="157" t="s">
        <v>49</v>
      </c>
      <c r="C34" s="156"/>
      <c r="D34" s="87">
        <f t="shared" ref="D34:J34" si="1">SUM(D16:D33)</f>
        <v>0</v>
      </c>
      <c r="E34" s="87">
        <f t="shared" si="1"/>
        <v>0</v>
      </c>
      <c r="F34" s="87">
        <f t="shared" si="1"/>
        <v>0</v>
      </c>
      <c r="G34" s="87">
        <f t="shared" si="1"/>
        <v>0</v>
      </c>
      <c r="H34" s="87">
        <f t="shared" si="1"/>
        <v>0</v>
      </c>
      <c r="I34" s="87">
        <f t="shared" si="1"/>
        <v>0</v>
      </c>
      <c r="J34" s="87">
        <f t="shared" si="1"/>
        <v>0</v>
      </c>
      <c r="K34" s="76">
        <f t="shared" si="0"/>
        <v>0</v>
      </c>
    </row>
    <row r="35" spans="2:11" ht="13.5" customHeight="1" thickBot="1" x14ac:dyDescent="0.25">
      <c r="B35" s="187" t="s">
        <v>50</v>
      </c>
      <c r="C35" s="136"/>
      <c r="D35" s="136"/>
      <c r="E35" s="136"/>
      <c r="F35" s="136"/>
      <c r="G35" s="136"/>
      <c r="H35" s="136"/>
      <c r="I35" s="136"/>
      <c r="J35" s="136"/>
      <c r="K35" s="143"/>
    </row>
    <row r="36" spans="2:11" x14ac:dyDescent="0.2">
      <c r="B36" s="134"/>
      <c r="C36" s="127"/>
      <c r="D36" s="150"/>
      <c r="E36" s="131"/>
      <c r="F36" s="131"/>
      <c r="G36" s="131"/>
      <c r="H36" s="131"/>
      <c r="I36" s="131"/>
      <c r="J36" s="131"/>
      <c r="K36" s="132"/>
    </row>
    <row r="37" spans="2:11" x14ac:dyDescent="0.2">
      <c r="B37" s="134"/>
      <c r="C37" s="127"/>
      <c r="D37" s="130"/>
      <c r="E37" s="131"/>
      <c r="F37" s="131"/>
      <c r="G37" s="131"/>
      <c r="H37" s="131"/>
      <c r="I37" s="131"/>
      <c r="J37" s="131"/>
      <c r="K37" s="132"/>
    </row>
    <row r="38" spans="2:11" ht="13.5" customHeight="1" thickBot="1" x14ac:dyDescent="0.25">
      <c r="B38" s="180"/>
      <c r="C38" s="181"/>
      <c r="D38" s="130"/>
      <c r="E38" s="131"/>
      <c r="F38" s="131"/>
      <c r="G38" s="131"/>
      <c r="H38" s="131"/>
      <c r="I38" s="131"/>
      <c r="J38" s="131"/>
      <c r="K38" s="132"/>
    </row>
    <row r="39" spans="2:11" ht="13.5" customHeight="1" thickBot="1" x14ac:dyDescent="0.25">
      <c r="B39" s="161" t="s">
        <v>51</v>
      </c>
      <c r="C39" s="136"/>
      <c r="D39" s="136"/>
      <c r="E39" s="136"/>
      <c r="F39" s="136"/>
      <c r="G39" s="136"/>
      <c r="H39" s="136"/>
      <c r="I39" s="136"/>
      <c r="J39" s="136"/>
      <c r="K39" s="143"/>
    </row>
    <row r="40" spans="2:11" ht="13.5" customHeight="1" thickBot="1" x14ac:dyDescent="0.25">
      <c r="B40" s="188" t="s">
        <v>52</v>
      </c>
      <c r="C40" s="136"/>
      <c r="D40" s="138"/>
      <c r="E40" s="137" t="s">
        <v>53</v>
      </c>
      <c r="F40" s="138"/>
      <c r="G40" s="135" t="s">
        <v>54</v>
      </c>
      <c r="H40" s="136"/>
      <c r="I40" s="137" t="s">
        <v>55</v>
      </c>
      <c r="J40" s="138"/>
      <c r="K40" s="66" t="s">
        <v>56</v>
      </c>
    </row>
    <row r="41" spans="2:11" x14ac:dyDescent="0.2">
      <c r="B41" s="152"/>
      <c r="C41" s="153"/>
      <c r="D41" s="154"/>
      <c r="E41" s="159"/>
      <c r="F41" s="154"/>
      <c r="G41" s="167"/>
      <c r="H41" s="153"/>
      <c r="I41" s="159"/>
      <c r="J41" s="154"/>
      <c r="K41" s="65"/>
    </row>
    <row r="42" spans="2:11" x14ac:dyDescent="0.2">
      <c r="B42" s="160"/>
      <c r="C42" s="129"/>
      <c r="D42" s="127"/>
      <c r="E42" s="126"/>
      <c r="F42" s="127"/>
      <c r="G42" s="128"/>
      <c r="H42" s="129"/>
      <c r="I42" s="126"/>
      <c r="J42" s="127"/>
      <c r="K42" s="27"/>
    </row>
    <row r="43" spans="2:11" x14ac:dyDescent="0.2">
      <c r="B43" s="160"/>
      <c r="C43" s="129"/>
      <c r="D43" s="127"/>
      <c r="E43" s="126"/>
      <c r="F43" s="127"/>
      <c r="G43" s="128"/>
      <c r="H43" s="129"/>
      <c r="I43" s="126"/>
      <c r="J43" s="127"/>
      <c r="K43" s="27"/>
    </row>
    <row r="44" spans="2:11" x14ac:dyDescent="0.2">
      <c r="B44" s="160"/>
      <c r="C44" s="129"/>
      <c r="D44" s="127"/>
      <c r="E44" s="126"/>
      <c r="F44" s="127"/>
      <c r="G44" s="128"/>
      <c r="H44" s="129"/>
      <c r="I44" s="126"/>
      <c r="J44" s="127"/>
      <c r="K44" s="27"/>
    </row>
    <row r="45" spans="2:11" ht="13.5" customHeight="1" thickBot="1" x14ac:dyDescent="0.25">
      <c r="B45" s="160"/>
      <c r="C45" s="129"/>
      <c r="D45" s="127"/>
      <c r="E45" s="126"/>
      <c r="F45" s="127"/>
      <c r="G45" s="128"/>
      <c r="H45" s="129"/>
      <c r="I45" s="126"/>
      <c r="J45" s="127"/>
      <c r="K45" s="27"/>
    </row>
    <row r="46" spans="2:11" ht="13.5" customHeight="1" thickBot="1" x14ac:dyDescent="0.25">
      <c r="B46" s="166" t="s">
        <v>57</v>
      </c>
      <c r="C46" s="136"/>
      <c r="D46" s="136"/>
      <c r="E46" s="136"/>
      <c r="F46" s="136"/>
      <c r="G46" s="136"/>
      <c r="H46" s="136"/>
      <c r="I46" s="136"/>
      <c r="J46" s="136"/>
      <c r="K46" s="64" t="s">
        <v>58</v>
      </c>
    </row>
    <row r="47" spans="2:11" x14ac:dyDescent="0.2">
      <c r="B47" s="165"/>
      <c r="C47" s="153"/>
      <c r="D47" s="153"/>
      <c r="E47" s="153"/>
      <c r="F47" s="153"/>
      <c r="G47" s="153"/>
      <c r="H47" s="153"/>
      <c r="I47" s="153"/>
      <c r="J47" s="154"/>
      <c r="K47" s="63"/>
    </row>
    <row r="48" spans="2:11" x14ac:dyDescent="0.2">
      <c r="B48" s="139"/>
      <c r="C48" s="129"/>
      <c r="D48" s="129"/>
      <c r="E48" s="129"/>
      <c r="F48" s="129"/>
      <c r="G48" s="129"/>
      <c r="H48" s="129"/>
      <c r="I48" s="129"/>
      <c r="J48" s="129"/>
      <c r="K48" s="28"/>
    </row>
    <row r="49" spans="2:15" ht="13.5" customHeight="1" thickBot="1" x14ac:dyDescent="0.25">
      <c r="B49" s="178"/>
      <c r="C49" s="179"/>
      <c r="D49" s="179"/>
      <c r="E49" s="179"/>
      <c r="F49" s="179"/>
      <c r="G49" s="179"/>
      <c r="H49" s="179"/>
      <c r="I49" s="179"/>
      <c r="J49" s="179"/>
      <c r="K49" s="29"/>
    </row>
    <row r="50" spans="2:15" x14ac:dyDescent="0.2">
      <c r="B50" s="15"/>
      <c r="C50" s="16"/>
      <c r="D50" s="16"/>
      <c r="E50" s="16"/>
      <c r="F50" s="53"/>
      <c r="G50" s="41"/>
      <c r="H50" s="37"/>
      <c r="I50" s="38" t="s">
        <v>59</v>
      </c>
      <c r="J50" s="37"/>
      <c r="K50" s="39"/>
    </row>
    <row r="51" spans="2:15" x14ac:dyDescent="0.2">
      <c r="B51" s="17"/>
      <c r="F51" s="54"/>
      <c r="G51" s="68" t="s">
        <v>60</v>
      </c>
      <c r="H51" s="56"/>
      <c r="I51" s="7">
        <v>7110</v>
      </c>
      <c r="J51" s="51"/>
      <c r="K51" s="43">
        <f>(K16)</f>
        <v>0</v>
      </c>
    </row>
    <row r="52" spans="2:15" x14ac:dyDescent="0.2">
      <c r="B52" s="162" t="s">
        <v>61</v>
      </c>
      <c r="C52" s="153"/>
      <c r="D52" s="26"/>
      <c r="E52" s="30" t="s">
        <v>62</v>
      </c>
      <c r="F52" s="55"/>
      <c r="G52" s="68" t="s">
        <v>63</v>
      </c>
      <c r="H52" s="56"/>
      <c r="I52" s="7">
        <v>6800</v>
      </c>
      <c r="J52" s="51"/>
      <c r="K52" s="43">
        <f>SUM(K17:K19)</f>
        <v>0</v>
      </c>
    </row>
    <row r="53" spans="2:15" x14ac:dyDescent="0.2">
      <c r="B53" s="17"/>
      <c r="G53" s="68" t="s">
        <v>64</v>
      </c>
      <c r="H53" s="67"/>
      <c r="I53" s="7">
        <v>6802</v>
      </c>
      <c r="J53" s="51"/>
      <c r="K53" s="43">
        <f>K20</f>
        <v>0</v>
      </c>
    </row>
    <row r="54" spans="2:15" x14ac:dyDescent="0.2">
      <c r="B54" s="17"/>
      <c r="G54" s="68" t="s">
        <v>65</v>
      </c>
      <c r="H54" s="67"/>
      <c r="I54" s="7">
        <v>7110</v>
      </c>
      <c r="J54" s="51"/>
      <c r="K54" s="43">
        <f>K22</f>
        <v>0</v>
      </c>
    </row>
    <row r="55" spans="2:15" x14ac:dyDescent="0.2">
      <c r="B55" s="140" t="s">
        <v>66</v>
      </c>
      <c r="C55" s="141"/>
      <c r="D55" s="4"/>
      <c r="E55" s="8" t="s">
        <v>62</v>
      </c>
      <c r="F55" s="4"/>
      <c r="G55" s="68" t="s">
        <v>67</v>
      </c>
      <c r="H55" s="67"/>
      <c r="I55" s="7">
        <v>6020</v>
      </c>
      <c r="J55" s="51"/>
      <c r="K55" s="43">
        <f>K29+K23</f>
        <v>0</v>
      </c>
    </row>
    <row r="56" spans="2:15" x14ac:dyDescent="0.2">
      <c r="B56" s="17"/>
      <c r="G56" s="68" t="s">
        <v>68</v>
      </c>
      <c r="H56" s="67"/>
      <c r="I56" s="7">
        <v>6020</v>
      </c>
      <c r="J56" s="51"/>
      <c r="K56" s="43">
        <f>SUM(K24+K27+K28+K26)</f>
        <v>0</v>
      </c>
      <c r="M56" s="12"/>
      <c r="O56" s="12"/>
    </row>
    <row r="57" spans="2:15" x14ac:dyDescent="0.2">
      <c r="B57" s="17"/>
      <c r="G57" s="68" t="s">
        <v>69</v>
      </c>
      <c r="H57" s="67"/>
      <c r="I57" s="7">
        <v>6020</v>
      </c>
      <c r="J57" s="51"/>
      <c r="K57" s="43">
        <f>K30</f>
        <v>0</v>
      </c>
    </row>
    <row r="58" spans="2:15" x14ac:dyDescent="0.2">
      <c r="B58" s="17" t="s">
        <v>70</v>
      </c>
      <c r="G58" s="68" t="s">
        <v>71</v>
      </c>
      <c r="H58" s="56"/>
      <c r="I58" s="7">
        <v>6830</v>
      </c>
      <c r="J58" s="51"/>
      <c r="K58" s="43">
        <f>K31</f>
        <v>0</v>
      </c>
    </row>
    <row r="59" spans="2:15" x14ac:dyDescent="0.2">
      <c r="B59" s="140"/>
      <c r="C59" s="141"/>
      <c r="D59" s="22"/>
      <c r="E59" s="52"/>
      <c r="F59" s="40">
        <f>D60*F60</f>
        <v>0</v>
      </c>
      <c r="G59" s="68" t="s">
        <v>72</v>
      </c>
      <c r="H59" s="56"/>
      <c r="I59" s="7">
        <v>7060</v>
      </c>
      <c r="J59" s="51"/>
      <c r="K59" s="43">
        <f>K25+K21</f>
        <v>0</v>
      </c>
    </row>
    <row r="60" spans="2:15" x14ac:dyDescent="0.2">
      <c r="B60" s="163" t="s">
        <v>73</v>
      </c>
      <c r="C60" s="164"/>
      <c r="D60" s="14">
        <f>+K14</f>
        <v>0</v>
      </c>
      <c r="E60" s="52" t="s">
        <v>74</v>
      </c>
      <c r="F60" s="47">
        <v>0.67</v>
      </c>
      <c r="G60" s="69" t="s">
        <v>15</v>
      </c>
      <c r="H60" s="5"/>
      <c r="I60" s="7">
        <v>7080</v>
      </c>
      <c r="J60" s="51"/>
      <c r="K60" s="43">
        <f>K32</f>
        <v>0</v>
      </c>
    </row>
    <row r="61" spans="2:15" ht="13.5" customHeight="1" thickBot="1" x14ac:dyDescent="0.25">
      <c r="B61" s="144" t="s">
        <v>75</v>
      </c>
      <c r="C61" s="145"/>
      <c r="D61" s="145"/>
      <c r="E61" s="145"/>
      <c r="F61" s="145"/>
      <c r="G61" s="70" t="s">
        <v>76</v>
      </c>
      <c r="H61" s="5"/>
      <c r="I61" s="7">
        <v>7500</v>
      </c>
      <c r="J61" s="51"/>
      <c r="K61" s="44">
        <f>K33</f>
        <v>0</v>
      </c>
    </row>
    <row r="62" spans="2:15" ht="13.5" customHeight="1" thickBot="1" x14ac:dyDescent="0.25">
      <c r="B62" s="133" t="s">
        <v>77</v>
      </c>
      <c r="C62" s="125"/>
      <c r="D62" s="25"/>
      <c r="E62" s="9"/>
      <c r="F62" s="142" t="s">
        <v>78</v>
      </c>
      <c r="G62" s="136"/>
      <c r="H62" s="143"/>
      <c r="I62" s="6"/>
      <c r="J62" s="51"/>
      <c r="K62" s="43"/>
    </row>
    <row r="63" spans="2:15" x14ac:dyDescent="0.2">
      <c r="B63" s="133" t="s">
        <v>79</v>
      </c>
      <c r="C63" s="125"/>
      <c r="D63" s="25"/>
      <c r="E63" s="32"/>
      <c r="F63" s="168"/>
      <c r="G63" s="169"/>
      <c r="H63" s="170"/>
      <c r="I63" s="34"/>
      <c r="J63" s="51"/>
      <c r="K63" s="43"/>
    </row>
    <row r="64" spans="2:15" x14ac:dyDescent="0.2">
      <c r="B64" s="133" t="s">
        <v>80</v>
      </c>
      <c r="C64" s="125"/>
      <c r="D64" s="25"/>
      <c r="E64" s="32"/>
      <c r="F64" s="171"/>
      <c r="G64" s="164"/>
      <c r="H64" s="172"/>
      <c r="I64" s="34"/>
      <c r="J64" s="51"/>
      <c r="K64" s="43"/>
    </row>
    <row r="65" spans="2:11" x14ac:dyDescent="0.2">
      <c r="B65" s="133" t="s">
        <v>81</v>
      </c>
      <c r="C65" s="125"/>
      <c r="D65" s="25"/>
      <c r="E65" s="32"/>
      <c r="F65" s="171"/>
      <c r="G65" s="164"/>
      <c r="H65" s="172"/>
      <c r="I65" s="6"/>
      <c r="J65" s="51"/>
      <c r="K65" s="43"/>
    </row>
    <row r="66" spans="2:11" ht="13.5" customHeight="1" thickBot="1" x14ac:dyDescent="0.25">
      <c r="B66" s="133" t="s">
        <v>82</v>
      </c>
      <c r="C66" s="125"/>
      <c r="D66" s="25"/>
      <c r="E66" s="32"/>
      <c r="F66" s="173"/>
      <c r="G66" s="174"/>
      <c r="H66" s="175"/>
      <c r="I66" s="6"/>
      <c r="J66" s="24"/>
      <c r="K66" s="43"/>
    </row>
    <row r="67" spans="2:11" ht="13.5" customHeight="1" thickBot="1" x14ac:dyDescent="0.25">
      <c r="B67" s="176" t="s">
        <v>83</v>
      </c>
      <c r="C67" s="177"/>
      <c r="D67" s="46">
        <f>SUM(D62:D66)</f>
        <v>0</v>
      </c>
      <c r="E67" s="33"/>
      <c r="F67" s="36" t="s">
        <v>84</v>
      </c>
      <c r="G67" s="42"/>
      <c r="H67" s="62">
        <f>D67+K34</f>
        <v>0</v>
      </c>
      <c r="I67" s="35"/>
      <c r="J67" s="18" t="s">
        <v>85</v>
      </c>
      <c r="K67" s="45">
        <f>SUM(K51:K61)</f>
        <v>0</v>
      </c>
    </row>
  </sheetData>
  <mergeCells count="79">
    <mergeCell ref="B22:C22"/>
    <mergeCell ref="B44:D44"/>
    <mergeCell ref="B31:C31"/>
    <mergeCell ref="B6:K6"/>
    <mergeCell ref="B12:C12"/>
    <mergeCell ref="B21:C21"/>
    <mergeCell ref="B43:D43"/>
    <mergeCell ref="B16:C16"/>
    <mergeCell ref="B25:C25"/>
    <mergeCell ref="D38:K38"/>
    <mergeCell ref="E42:F42"/>
    <mergeCell ref="B35:K35"/>
    <mergeCell ref="B23:C23"/>
    <mergeCell ref="B40:D40"/>
    <mergeCell ref="B8:C8"/>
    <mergeCell ref="B67:C67"/>
    <mergeCell ref="B14:C14"/>
    <mergeCell ref="B49:J49"/>
    <mergeCell ref="B13:C13"/>
    <mergeCell ref="B38:C38"/>
    <mergeCell ref="I42:J42"/>
    <mergeCell ref="I44:J44"/>
    <mergeCell ref="B55:C55"/>
    <mergeCell ref="B24:C24"/>
    <mergeCell ref="B64:C64"/>
    <mergeCell ref="B33:C33"/>
    <mergeCell ref="B32:C32"/>
    <mergeCell ref="G44:H44"/>
    <mergeCell ref="B63:C63"/>
    <mergeCell ref="B26:C26"/>
    <mergeCell ref="B42:D42"/>
    <mergeCell ref="B66:C66"/>
    <mergeCell ref="B27:C27"/>
    <mergeCell ref="B18:C18"/>
    <mergeCell ref="B11:C11"/>
    <mergeCell ref="I41:J41"/>
    <mergeCell ref="E40:F40"/>
    <mergeCell ref="I43:J43"/>
    <mergeCell ref="B29:C29"/>
    <mergeCell ref="B45:D45"/>
    <mergeCell ref="B37:C37"/>
    <mergeCell ref="B39:K39"/>
    <mergeCell ref="B52:C52"/>
    <mergeCell ref="B60:C60"/>
    <mergeCell ref="B47:J47"/>
    <mergeCell ref="B46:J46"/>
    <mergeCell ref="G41:H41"/>
    <mergeCell ref="B1:K1"/>
    <mergeCell ref="B15:C15"/>
    <mergeCell ref="B7:C7"/>
    <mergeCell ref="G42:H42"/>
    <mergeCell ref="I45:J45"/>
    <mergeCell ref="E44:F44"/>
    <mergeCell ref="D36:K36"/>
    <mergeCell ref="B17:C17"/>
    <mergeCell ref="B41:D41"/>
    <mergeCell ref="B19:C19"/>
    <mergeCell ref="B34:C34"/>
    <mergeCell ref="B28:C28"/>
    <mergeCell ref="B9:C9"/>
    <mergeCell ref="B30:C30"/>
    <mergeCell ref="B20:C20"/>
    <mergeCell ref="E41:F41"/>
    <mergeCell ref="B10:C10"/>
    <mergeCell ref="E45:F45"/>
    <mergeCell ref="G45:H45"/>
    <mergeCell ref="D37:K37"/>
    <mergeCell ref="B65:C65"/>
    <mergeCell ref="B36:C36"/>
    <mergeCell ref="G40:H40"/>
    <mergeCell ref="I40:J40"/>
    <mergeCell ref="B48:J48"/>
    <mergeCell ref="E43:F43"/>
    <mergeCell ref="G43:H43"/>
    <mergeCell ref="B62:C62"/>
    <mergeCell ref="B59:C59"/>
    <mergeCell ref="F62:H62"/>
    <mergeCell ref="B61:F61"/>
    <mergeCell ref="F63:H66"/>
  </mergeCells>
  <printOptions verticalCentered="1"/>
  <pageMargins left="0.5" right="0.5" top="0.5" bottom="0.25" header="0.5" footer="0.5"/>
  <pageSetup scale="62" pageOrder="overThenDown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327101e-53d1-45f2-a1f5-a79b1c552f4b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ED4381BCB894AB378AC491D7AB112" ma:contentTypeVersion="13" ma:contentTypeDescription="Create a new document." ma:contentTypeScope="" ma:versionID="fd016ca7e0cb01ae3dcccd399f787cb2">
  <xsd:schema xmlns:xsd="http://www.w3.org/2001/XMLSchema" xmlns:xs="http://www.w3.org/2001/XMLSchema" xmlns:p="http://schemas.microsoft.com/office/2006/metadata/properties" xmlns:ns1="http://schemas.microsoft.com/sharepoint/v3" xmlns:ns3="b327101e-53d1-45f2-a1f5-a79b1c552f4b" targetNamespace="http://schemas.microsoft.com/office/2006/metadata/properties" ma:root="true" ma:fieldsID="052826cae05c21b7e60bb2de3f0ee2af" ns1:_="" ns3:_="">
    <xsd:import namespace="http://schemas.microsoft.com/sharepoint/v3"/>
    <xsd:import namespace="b327101e-53d1-45f2-a1f5-a79b1c552f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7101e-53d1-45f2-a1f5-a79b1c552f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5BAFBA-ED89-443C-BDC1-BE7E0DDF0F02}">
  <ds:schemaRefs>
    <ds:schemaRef ds:uri="http://schemas.microsoft.com/office/2006/metadata/properties"/>
    <ds:schemaRef ds:uri="b327101e-53d1-45f2-a1f5-a79b1c552f4b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sharepoint/v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295EB6B-E25D-441A-B9F0-C37A6A6F7A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A4589-D35A-435B-A1EF-BD32FF7FC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27101e-53d1-45f2-a1f5-a79b1c552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D'Alessando</dc:creator>
  <cp:lastModifiedBy>Hoon Kim</cp:lastModifiedBy>
  <cp:lastPrinted>2026-01-19T03:02:44Z</cp:lastPrinted>
  <dcterms:created xsi:type="dcterms:W3CDTF">2000-10-05T16:04:06Z</dcterms:created>
  <dcterms:modified xsi:type="dcterms:W3CDTF">2026-03-07T00:12:57Z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0x010100906ED4381BCB894AB378AC491D7AB112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xd_Signature">
    <vt:bool>false</vt:bool>
  </property>
  <property fmtid="{D5CDD505-2E9C-101B-9397-08002B2CF9AE}" pid="9" name="SharedWithUsers">
    <vt:lpwstr>51;#Nicholas Watkin</vt:lpwstr>
  </property>
  <property fmtid="{D5CDD505-2E9C-101B-9397-08002B2CF9AE}" pid="10" name="TriggerFlowInfo">
    <vt:lpwstr/>
  </property>
</Properties>
</file>